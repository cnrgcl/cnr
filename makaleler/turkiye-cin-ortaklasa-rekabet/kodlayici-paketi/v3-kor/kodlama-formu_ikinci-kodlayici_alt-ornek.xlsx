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urallar" sheetId="1" state="visible" r:id="rId1"/>
    <sheet xmlns:r="http://schemas.openxmlformats.org/officeDocument/2006/relationships" name="Kodlama" sheetId="2" state="visible" r:id="rId2"/>
  </sheets>
  <definedNames>
    <definedName name="_xlnm._FilterDatabase" localSheetId="1" hidden="1">'Kodlama'!$A$2:$J$371</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0"/>
    </font>
    <font>
      <name val="Arial"/>
      <charset val="1"/>
      <family val="0"/>
      <i val="1"/>
      <sz val="9"/>
    </font>
    <font>
      <name val="Arial"/>
      <charset val="1"/>
      <family val="0"/>
      <i val="1"/>
      <sz val="10"/>
    </font>
    <font>
      <name val="Arial"/>
      <charset val="1"/>
      <family val="0"/>
      <i val="1"/>
      <color rgb="FF595959"/>
      <sz val="10"/>
    </font>
    <font>
      <name val="WenQuanYi Zen Hei"/>
      <family val="2"/>
      <sz val="10"/>
    </font>
  </fonts>
  <fills count="5">
    <fill>
      <patternFill/>
    </fill>
    <fill>
      <patternFill patternType="gray125"/>
    </fill>
    <fill>
      <patternFill patternType="solid">
        <fgColor rgb="FFFFF2CC"/>
        <bgColor rgb="FFF2F2F2"/>
      </patternFill>
    </fill>
    <fill>
      <patternFill patternType="solid">
        <fgColor rgb="FFDDEBE7"/>
        <bgColor rgb="FFF2F2F2"/>
      </patternFill>
    </fill>
    <fill>
      <patternFill patternType="solid">
        <fgColor rgb="FFF2F2F2"/>
        <bgColor rgb="FFDDEBE7"/>
      </patternFill>
    </fill>
  </fills>
  <borders count="2">
    <border>
      <left/>
      <right/>
      <top/>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2" borderId="1"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6" fillId="3" borderId="0" applyAlignment="1" pivotButton="0" quotePrefix="0" xfId="0">
      <alignment horizontal="general" vertical="center" wrapText="1"/>
    </xf>
    <xf numFmtId="0" fontId="9" fillId="4" borderId="0" applyAlignment="1" pivotButton="0" quotePrefix="0" xfId="0">
      <alignment horizontal="general" vertical="top" wrapText="1"/>
    </xf>
    <xf numFmtId="0" fontId="5" fillId="2" borderId="0"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2" borderId="1"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6" fillId="3" borderId="0" applyAlignment="1" pivotButton="0" quotePrefix="0" xfId="0">
      <alignment horizontal="general" vertical="center" wrapText="1"/>
    </xf>
    <xf numFmtId="0" fontId="9" fillId="4" borderId="0" applyAlignment="1" pivotButton="0" quotePrefix="0" xfId="0">
      <alignment horizontal="general" vertical="top" wrapText="1"/>
    </xf>
    <xf numFmtId="0" fontId="5" fillId="2" borderId="0"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DDEBE7"/>
          <bgColor rgb="FF000000"/>
        </patternFill>
      </fill>
    </dxf>
    <dxf>
      <fill>
        <patternFill patternType="solid">
          <fgColor rgb="FFF2F2F2"/>
          <bgColor rgb="FF000000"/>
        </patternFill>
      </fill>
    </dxf>
    <dxf>
      <fill>
        <patternFill patternType="solid">
          <bgColor rgb="FF000000"/>
        </patternFill>
      </fill>
    </dxf>
    <dxf>
      <fill>
        <patternFill patternType="solid">
          <fgColor rgb="FF595959"/>
          <bgColor rgb="FF000000"/>
        </patternFill>
      </fill>
    </dxf>
    <dxf>
      <fill>
        <patternFill patternType="solid">
          <fgColor rgb="FFFFF2CC"/>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5" customWidth="1" style="12" min="1" max="1"/>
    <col width="28" customWidth="1" style="12" min="2" max="2"/>
  </cols>
  <sheetData>
    <row r="1" ht="15" customHeight="1" s="13">
      <c r="A1" s="14" t="inlineStr">
        <is>
          <t>Türkiye–Çin İpek Yolu belgelerinin kodlanması — bağımsız kodlayıcı formu</t>
        </is>
      </c>
    </row>
    <row r="2" ht="15" customHeight="1" s="13">
      <c r="A2" s="15" t="n"/>
    </row>
    <row r="3" ht="15" customHeight="1" s="13">
      <c r="A3" s="16" t="inlineStr">
        <is>
          <t>Kodlayıcı adı / rumuzu:</t>
        </is>
      </c>
      <c r="B3" s="17" t="n"/>
    </row>
    <row r="4" ht="15" customHeight="1" s="13">
      <c r="A4" s="15" t="n"/>
    </row>
    <row r="5" ht="15" customHeight="1" s="13">
      <c r="A5" s="16" t="inlineStr">
        <is>
          <t>Nasıl doldurulur</t>
        </is>
      </c>
    </row>
    <row r="6" ht="23.85" customHeight="1" s="13">
      <c r="A6" s="15" t="inlineStr">
        <is>
          <t>1. 'Kodlama' sayfasında yalnızca SARI hücreleri doldurun (F–I sütunları; J isteğe bağlı not). Hücreye tıklayınca açılan listeden seçin.</t>
        </is>
      </c>
    </row>
    <row r="7" ht="15" customHeight="1" s="13">
      <c r="A7" s="15" t="inlineStr">
        <is>
          <t>2. Yalnızca metinde AÇIKÇA yazana bakın; cümlenin arkasındaki niyeti ya da çıkarı tahmin etmeyin.</t>
        </is>
      </c>
    </row>
    <row r="8" ht="15" customHeight="1" s="13">
      <c r="A8" s="15" t="inlineStr">
        <is>
          <t>3. Başka kodlayıcılarla konuşmadan, kendi okumanızla kodlayın. Bitince dosyayı araştırmacıya gönderin.</t>
        </is>
      </c>
    </row>
    <row r="9" ht="15" customHeight="1" s="13">
      <c r="A9" s="15" t="inlineStr">
        <is>
          <t>4. 3. satır (gri) uydurma bir ÖRNEKTİR; kodlamaya dahil değildir.</t>
        </is>
      </c>
    </row>
    <row r="10" ht="15" customHeight="1" s="13">
      <c r="A10" s="15" t="n"/>
    </row>
    <row r="11" ht="15" customHeight="1" s="13">
      <c r="A11" s="16" t="inlineStr">
        <is>
          <t>Alan (birini seçin; iki alan eşit uyuyorsa cümlenin yüklemine bakın, yine eşitse küçük numaralıyı seçin)</t>
        </is>
      </c>
    </row>
    <row r="12" ht="15" customHeight="1" s="13">
      <c r="A12" s="15" t="inlineStr">
        <is>
          <t>1 = Bağlantı: ulaşım, koridor, demiryolu, lojistik, gümrük, havalimanı, uçuş hattı (turizm amacı söylenmiyorsa)</t>
        </is>
      </c>
    </row>
    <row r="13" ht="23.85" customHeight="1" s="13">
      <c r="A13" s="15" t="inlineStr">
        <is>
          <t>2 = Turist akışı: vize, turist sayısı ya da hedefi, turizm tanıtımı, turizm yılı, kültür yılı, halklar arası değişim, turizm amaçlı uçuş</t>
        </is>
      </c>
    </row>
    <row r="14" ht="23.85" customHeight="1" s="13">
      <c r="A14" s="15" t="inlineStr">
        <is>
          <t>3 = Anlatı: İpek Yolu tarihi, mirası, güzergâhı, başlangıcı, merkezi; ortak tarih ve medeniyet; UNESCO/miras adaylığı; ulusal kültürel marka</t>
        </is>
      </c>
    </row>
    <row r="15" ht="15" customHeight="1" s="13">
      <c r="A15" s="15" t="inlineStr">
        <is>
          <t>4 = Değer: gelir, harcama, yatırım, finansman, ödeme sistemleri, ticaret dengesi, aracı/operatör payı</t>
        </is>
      </c>
    </row>
    <row r="16" ht="15" customHeight="1" s="13">
      <c r="A16" s="15" t="n"/>
    </row>
    <row r="17" ht="15" customHeight="1" s="13">
      <c r="A17" s="16" t="inlineStr">
        <is>
          <t>Üç evet/hayır sorusu (E = Evet, H = Hayır)</t>
        </is>
      </c>
    </row>
    <row r="18" ht="23.85" customHeight="1" s="13">
      <c r="A18" s="15" t="inlineStr">
        <is>
          <t>Ortak özne: İki ülke birlikte özne ya da birlikte fayda sahibi olarak anılıyor mu? ('taraflar', 'iki ülke', 'ortaklaşa', 'karşılıklı', 'X ile Y arasında')</t>
        </is>
      </c>
    </row>
    <row r="19" ht="35.05" customHeight="1" s="13">
      <c r="A19" s="15" t="inlineStr">
        <is>
          <t>Kendini öne çıkarma: Konuşan taraf kendini (kentini, kurumunu, koridorunu) İpek Yolu'nun başlangıcı, merkezi, kapısı, köprüsü, kavşağı ilan ediyor; kendi koridor/marka adını tek başına öne sürüyor; ya da 'en büyük', 'daha hızlı' gibi üstünlük karşılaştırması yapıyor mu?</t>
        </is>
      </c>
    </row>
    <row r="20" ht="23.85" customHeight="1" s="13">
      <c r="A20" s="15" t="inlineStr">
        <is>
          <t>Dışlama / tek taraflılık: Ortakları, ülkeleri ya da koridorları sayarken karşı ülkeyi atlıyor mu; ya da yalnız bir tarafa yarayan hedef, taviz, talep var mı? ('X Çinli turist hedefimiz', tek taraflı vize muafiyeti)</t>
        </is>
      </c>
    </row>
    <row r="21" ht="15" customHeight="1" s="13">
      <c r="A21" s="15" t="n"/>
    </row>
    <row r="22" ht="15" customHeight="1" s="13">
      <c r="A22" s="16" t="inlineStr">
        <is>
          <t>İlerleme</t>
        </is>
      </c>
    </row>
    <row r="23" ht="15" customHeight="1" s="13">
      <c r="A23" s="18" t="inlineStr">
        <is>
          <t>Tamamlanan ifade sayısı (dört alan da dolu):</t>
        </is>
      </c>
      <c r="B23" s="19">
        <f>COUNTIFS(Kodlama!F4:F371,"&lt;&gt;",Kodlama!G4:G371,"&lt;&gt;",Kodlama!H4:H371,"&lt;&gt;",Kodlama!I4:I371,"&lt;&gt;")</f>
        <v/>
      </c>
    </row>
    <row r="24" ht="15" customHeight="1" s="13">
      <c r="A24" s="18" t="inlineStr">
        <is>
          <t>Toplam ifade:</t>
        </is>
      </c>
      <c r="B24" s="18">
        <f>COUNTA(Kodlama!A4:A371)</f>
        <v/>
      </c>
    </row>
    <row r="25" ht="15" customHeight="1" s="13">
      <c r="A25" s="20" t="inlineStr">
        <is>
          <t>Not: İfadeler ve Çince metinlerin Türkçe çevirileri araştırma ekibince hazırlanmıştır (çeviri ve bölümleme yapay zekâ desteğiyle yapıldı).</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103"/>
  <sheetViews>
    <sheetView showFormulas="0" showGridLines="1" showRowColHeaders="1" showZeros="1" rightToLeft="0" tabSelected="0" showOutlineSymbols="1" defaultGridColor="1"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baseColWidth="8" defaultColWidth="8.6796875" defaultRowHeight="15" zeroHeight="0" outlineLevelRow="0"/>
  <cols>
    <col width="9" customWidth="1" style="12" min="1" max="1"/>
    <col width="7" customWidth="1" style="12" min="2" max="2"/>
    <col width="26" customWidth="1" style="12" min="3" max="3"/>
    <col width="12" customWidth="1" style="12" min="4" max="4"/>
    <col width="70" customWidth="1" style="12" min="5" max="5"/>
    <col width="10" customWidth="1" style="12" min="6" max="6"/>
    <col width="11" customWidth="1" style="12" min="7" max="7"/>
    <col width="13" customWidth="1" style="12" min="8" max="9"/>
    <col width="22" customWidth="1" style="12" min="10" max="10"/>
  </cols>
  <sheetData>
    <row r="1" ht="15" customHeight="1" s="13">
      <c r="A1" s="21" t="inlineStr">
        <is>
          <t>Yalnızca sarı hücreleri doldurun. Kurallar için "Kurallar" sayfasına bakın.</t>
        </is>
      </c>
    </row>
    <row r="2" ht="46.25" customHeight="1" s="13">
      <c r="A2" s="22" t="inlineStr">
        <is>
          <t>İfade no</t>
        </is>
      </c>
      <c r="B2" s="22" t="inlineStr">
        <is>
          <t>Belge</t>
        </is>
      </c>
      <c r="C2" s="22" t="inlineStr">
        <is>
          <t>Kaynak</t>
        </is>
      </c>
      <c r="D2" s="22" t="inlineStr">
        <is>
          <t>Taraf</t>
        </is>
      </c>
      <c r="E2" s="22" t="inlineStr">
        <is>
          <t>İfade</t>
        </is>
      </c>
      <c r="F2" s="22" t="inlineStr">
        <is>
          <t>Alan (1-4)</t>
        </is>
      </c>
      <c r="G2" s="22" t="inlineStr">
        <is>
          <t>Ortak özne (E/H)</t>
        </is>
      </c>
      <c r="H2" s="22" t="inlineStr">
        <is>
          <t>Kendini öne çıkarma (E/H)</t>
        </is>
      </c>
      <c r="I2" s="22" t="inlineStr">
        <is>
          <t>Dışlama / tek taraflılık (E/H)</t>
        </is>
      </c>
      <c r="J2" s="22" t="inlineStr">
        <is>
          <t>Not (isteğe bağlı)</t>
        </is>
      </c>
    </row>
    <row r="3" ht="23.85" customHeight="1" s="13">
      <c r="A3" s="23" t="inlineStr">
        <is>
          <t>ÖRNEK</t>
        </is>
      </c>
      <c r="B3" s="23" t="inlineStr">
        <is>
          <t>—</t>
        </is>
      </c>
      <c r="C3" s="23" t="inlineStr">
        <is>
          <t>(uydurma)</t>
        </is>
      </c>
      <c r="D3" s="23" t="inlineStr">
        <is>
          <t>—</t>
        </is>
      </c>
      <c r="E3" s="23" t="inlineStr">
        <is>
          <t>İki ülke turizm alanında karşılıklı tanıtımı artıracak.</t>
        </is>
      </c>
      <c r="F3" s="23" t="inlineStr">
        <is>
          <t>2</t>
        </is>
      </c>
      <c r="G3" s="23" t="inlineStr">
        <is>
          <t>E</t>
        </is>
      </c>
      <c r="H3" s="23" t="inlineStr">
        <is>
          <t>H</t>
        </is>
      </c>
      <c r="I3" s="23" t="inlineStr">
        <is>
          <t>H</t>
        </is>
      </c>
      <c r="J3" s="23" t="inlineStr">
        <is>
          <t>Örnek satır; kodlamaya dahil değil</t>
        </is>
      </c>
    </row>
    <row r="4" ht="35.05" customHeight="1" s="13">
      <c r="A4" s="15" t="inlineStr">
        <is>
          <t>A01-02</t>
        </is>
      </c>
      <c r="B4" s="15" t="inlineStr">
        <is>
          <t>A01</t>
        </is>
      </c>
      <c r="C4" s="15" t="inlineStr">
        <is>
          <t>ÇHC Dışişleri Bakanlığı · 2010-10-08</t>
        </is>
      </c>
      <c r="D4" s="15" t="inlineStr">
        <is>
          <t>Ortak belge</t>
        </is>
      </c>
      <c r="E4" s="15" t="inlineStr">
        <is>
          <t>2012'de Türkiye'de düzenlenecek "Çin Kültür Yılı" ve 2013'te Çin'de düzenlenecek "Türkiye Kültür Yılı" etkinliklerini en iyi şekilde gerçekleştirmek için tüm gücün seferber edilmesi.</t>
        </is>
      </c>
      <c r="F4" s="24" t="n"/>
      <c r="G4" s="24" t="n"/>
      <c r="H4" s="24" t="n"/>
      <c r="I4" s="24" t="n"/>
      <c r="J4" s="24" t="n"/>
    </row>
    <row r="5" ht="35.05" customHeight="1" s="13">
      <c r="A5" s="15" t="inlineStr">
        <is>
          <t>A02-01</t>
        </is>
      </c>
      <c r="B5" s="15" t="inlineStr">
        <is>
          <t>A02</t>
        </is>
      </c>
      <c r="C5" s="15" t="inlineStr">
        <is>
          <t>T.C. Dışişleri Bakanlığı · 2012-02-16</t>
        </is>
      </c>
      <c r="D5" s="15" t="inlineStr">
        <is>
          <t>Türk kaynağı</t>
        </is>
      </c>
      <c r="E5" s="15" t="inlineStr">
        <is>
          <t>2012 ile 2013 yılları ise sırasıyla “Türkiye’de Çin Yılı” ve “Çin’de Türkiye Yılı” olarak ilan edilmiştir.</t>
        </is>
      </c>
      <c r="F5" s="24" t="n"/>
      <c r="G5" s="24" t="n"/>
      <c r="H5" s="24" t="n"/>
      <c r="I5" s="24" t="n"/>
      <c r="J5" s="24" t="n"/>
    </row>
    <row r="6" ht="23.85" customHeight="1" s="13">
      <c r="A6" s="15" t="inlineStr">
        <is>
          <t>A03-02</t>
        </is>
      </c>
      <c r="B6" s="15" t="inlineStr">
        <is>
          <t>A03</t>
        </is>
      </c>
      <c r="C6" s="15" t="inlineStr">
        <is>
          <t>ÇHC Dışişleri Bakanlığı · 2012-02-21</t>
        </is>
      </c>
      <c r="D6" s="15" t="inlineStr">
        <is>
          <t>Çin kaynağı</t>
        </is>
      </c>
      <c r="E6" s="15" t="inlineStr">
        <is>
          <t>(3) Halklar arası değişimi yoğunlaştırmak, halk düzeyinde dostluğu artırmak. Çin tarafı Türk tarafıyla düşünce kuruluşları ve sivil toplum kuruluşları arasındaki değişim ve işbirliğini güçlendirmeyi sürdürmek, aynı zamanda turizm işbirliğini genişletmek ve iki ülke dostluğunun toplumsal temelini daha da sağlamlaştırmak istiyor.</t>
        </is>
      </c>
      <c r="F6" s="24" t="n"/>
      <c r="G6" s="24" t="n"/>
      <c r="H6" s="24" t="n"/>
      <c r="I6" s="24" t="n"/>
      <c r="J6" s="24" t="n"/>
    </row>
    <row r="7" ht="35.05" customHeight="1" s="13">
      <c r="A7" s="15" t="inlineStr">
        <is>
          <t>A04-02</t>
        </is>
      </c>
      <c r="B7" s="15" t="inlineStr">
        <is>
          <t>A04</t>
        </is>
      </c>
      <c r="C7" s="15" t="inlineStr">
        <is>
          <t>T.C. Pekin Büyükelçiliği · 2012-10-17</t>
        </is>
      </c>
      <c r="D7" s="15" t="inlineStr">
        <is>
          <t>Türk kaynağı</t>
        </is>
      </c>
      <c r="E7" s="15" t="inlineStr">
        <is>
          <t>Firstly, Istanbul has always played the role of a strategic intersection since the dawn of the history. It dutifully connects East to West and North to South.</t>
        </is>
      </c>
      <c r="F7" s="24" t="n"/>
      <c r="G7" s="24" t="n"/>
      <c r="H7" s="24" t="n"/>
      <c r="I7" s="24" t="n"/>
      <c r="J7" s="24" t="n"/>
    </row>
    <row r="8" ht="46.25" customHeight="1" s="13">
      <c r="A8" s="15" t="inlineStr">
        <is>
          <t>A04-06</t>
        </is>
      </c>
      <c r="B8" s="15" t="inlineStr">
        <is>
          <t>A04</t>
        </is>
      </c>
      <c r="C8" s="15" t="inlineStr">
        <is>
          <t>T.C. Pekin Büyükelçiliği · 2012-10-17</t>
        </is>
      </c>
      <c r="D8" s="15" t="inlineStr">
        <is>
          <t>Türk kaynağı</t>
        </is>
      </c>
      <c r="E8" s="15" t="inlineStr">
        <is>
          <t>Hong Kong, with the daily flights, will no doubt further boost tourism and stimulate trade activities between Turkey and Hong Kong.</t>
        </is>
      </c>
      <c r="F8" s="24" t="n"/>
      <c r="G8" s="24" t="n"/>
      <c r="H8" s="24" t="n"/>
      <c r="I8" s="24" t="n"/>
      <c r="J8" s="24" t="n"/>
    </row>
    <row r="9" ht="23.85" customHeight="1" s="13">
      <c r="A9" s="15" t="inlineStr">
        <is>
          <t>A05-02</t>
        </is>
      </c>
      <c r="B9" s="15" t="inlineStr">
        <is>
          <t>A05</t>
        </is>
      </c>
      <c r="C9" s="15" t="inlineStr">
        <is>
          <t>T.C. Pekin Büyükelçiliği · 2014-02-20</t>
        </is>
      </c>
      <c r="D9" s="15" t="inlineStr">
        <is>
          <t>Türk kaynağı</t>
        </is>
      </c>
      <c r="E9" s="15" t="inlineStr">
        <is>
          <t>Rumi is first and foremost symbolized, in Turkey and in the world, with his very famous message: “Come, come, whoever you are. Come yet again”.</t>
        </is>
      </c>
      <c r="F9" s="24" t="n"/>
      <c r="G9" s="24" t="n"/>
      <c r="H9" s="24" t="n"/>
      <c r="I9" s="24" t="n"/>
      <c r="J9" s="24" t="n"/>
    </row>
    <row r="10" ht="23.85" customHeight="1" s="13">
      <c r="A10" s="15" t="inlineStr">
        <is>
          <t>A06-02</t>
        </is>
      </c>
      <c r="B10" s="15" t="inlineStr">
        <is>
          <t>A06</t>
        </is>
      </c>
      <c r="C10" s="15" t="inlineStr">
        <is>
          <t>ÇHC Dışişleri Bakanlığı · 2015-04-08</t>
        </is>
      </c>
      <c r="D10" s="15" t="inlineStr">
        <is>
          <t>Çin kaynağı</t>
        </is>
      </c>
      <c r="E10" s="15" t="inlineStr">
        <is>
          <t>[İpek Yolu ruhu] güzergâh ülkelerinin refah ve kalkınmasını teşvik eden önemli bir bağ, Doğu ile Batı arasındaki mübadele ve işbirliğinin simgesi ve dünyadaki tüm ülkelerin ortak tarihî-kültürel mirasıdır.</t>
        </is>
      </c>
      <c r="F10" s="24" t="n"/>
      <c r="G10" s="24" t="n"/>
      <c r="H10" s="24" t="n"/>
      <c r="I10" s="24" t="n"/>
      <c r="J10" s="24" t="n"/>
    </row>
    <row r="11" ht="23.85" customHeight="1" s="13">
      <c r="A11" s="15" t="inlineStr">
        <is>
          <t>A06-04</t>
        </is>
      </c>
      <c r="B11" s="15" t="inlineStr">
        <is>
          <t>A06</t>
        </is>
      </c>
      <c r="C11" s="15" t="inlineStr">
        <is>
          <t>ÇHC Dışişleri Bakanlığı · 2015-04-08</t>
        </is>
      </c>
      <c r="D11" s="15" t="inlineStr">
        <is>
          <t>Çin kaynağı</t>
        </is>
      </c>
      <c r="E11" s="15" t="inlineStr">
        <is>
          <t>Tesis bağlantısı, güzergâh ülkelerinin altyapı planlaması ve teknik standart sistemlerini birbirine bağlaması, uluslararası ana koridorların inşasını birlikte ilerletmesi ve Asya'nın alt bölgelerini ve Asya-Avrupa-Afrika'yı bağlayan bir altyapı ağını adım adım oluşturması demektir.</t>
        </is>
      </c>
      <c r="F11" s="24" t="n"/>
      <c r="G11" s="24" t="n"/>
      <c r="H11" s="24" t="n"/>
      <c r="I11" s="24" t="n"/>
      <c r="J11" s="24" t="n"/>
    </row>
    <row r="12" ht="23.85" customHeight="1" s="13">
      <c r="A12" s="15" t="inlineStr">
        <is>
          <t>A06-05</t>
        </is>
      </c>
      <c r="B12" s="15" t="inlineStr">
        <is>
          <t>A06</t>
        </is>
      </c>
      <c r="C12" s="15" t="inlineStr">
        <is>
          <t>ÇHC Dışişleri Bakanlığı · 2015-04-08</t>
        </is>
      </c>
      <c r="D12" s="15" t="inlineStr">
        <is>
          <t>Çin kaynağı</t>
        </is>
      </c>
      <c r="E12" s="15" t="inlineStr">
        <is>
          <t>Halklar arası gönül bağı; kültürel mübadele, akademik temaslar, insan kaynakları değişimi, turizm, bilim-teknoloji ve medya işbirliği, siyasi parti, parlamento, gençlik ve kadın temasları, gönüllü hizmetler vb.'nin geniş çapta yürütülmesi demektir.</t>
        </is>
      </c>
      <c r="F12" s="24" t="n"/>
      <c r="G12" s="24" t="n"/>
      <c r="H12" s="24" t="n"/>
      <c r="I12" s="24" t="n"/>
      <c r="J12" s="24" t="n"/>
    </row>
    <row r="13" ht="35.05" customHeight="1" s="13">
      <c r="A13" s="15" t="inlineStr">
        <is>
          <t>A06-12</t>
        </is>
      </c>
      <c r="B13" s="15" t="inlineStr">
        <is>
          <t>A06</t>
        </is>
      </c>
      <c r="C13" s="15" t="inlineStr">
        <is>
          <t>ÇHC Dışişleri Bakanlığı · 2015-04-08</t>
        </is>
      </c>
      <c r="D13" s="15" t="inlineStr">
        <is>
          <t>Çin kaynağı</t>
        </is>
      </c>
      <c r="E13" s="15" t="inlineStr">
        <is>
          <t>Son yıllarda Türkiye'ye gelen Çinli turist sayısı belirgin biçimde arttı; bu karşılıklı anlayışı ve dostluğu derinleştirdi.</t>
        </is>
      </c>
      <c r="F13" s="24" t="n"/>
      <c r="G13" s="24" t="n"/>
      <c r="H13" s="24" t="n"/>
      <c r="I13" s="24" t="n"/>
      <c r="J13" s="24" t="n"/>
    </row>
    <row r="14" ht="23.85" customHeight="1" s="13">
      <c r="A14" s="15" t="inlineStr">
        <is>
          <t>A07-04</t>
        </is>
      </c>
      <c r="B14" s="15" t="inlineStr">
        <is>
          <t>A07</t>
        </is>
      </c>
      <c r="C14" s="15" t="inlineStr">
        <is>
          <t>T.C. Resmî Gazete · 2015-11-14</t>
        </is>
      </c>
      <c r="D14" s="15" t="inlineStr">
        <is>
          <t>Ortak belge</t>
        </is>
      </c>
      <c r="E14" s="15" t="inlineStr">
        <is>
          <t>bir taraftan Orta Koridor ve Kuşak ve Yola ilişkin Kervansaray projeleri gibi Türk girişimlerini Kuşak ve Yol ile bütünleştirirken Kuşak ve Yol Girişimine yönelik işbirliğini ortaklaşa teşvik ederler.</t>
        </is>
      </c>
      <c r="F14" s="24" t="n"/>
      <c r="G14" s="24" t="n"/>
      <c r="H14" s="24" t="n"/>
      <c r="I14" s="24" t="n"/>
      <c r="J14" s="24" t="n"/>
    </row>
    <row r="15" ht="23.85" customHeight="1" s="13">
      <c r="A15" s="15" t="inlineStr">
        <is>
          <t>A07-07</t>
        </is>
      </c>
      <c r="B15" s="15" t="inlineStr">
        <is>
          <t>A07</t>
        </is>
      </c>
      <c r="C15" s="15" t="inlineStr">
        <is>
          <t>T.C. Resmî Gazete · 2015-11-14</t>
        </is>
      </c>
      <c r="D15" s="15" t="inlineStr">
        <is>
          <t>Ortak belge</t>
        </is>
      </c>
      <c r="E15" s="15" t="inlineStr">
        <is>
          <t>İpek Yolu boyunca gümrük işbirliği hususunda, Kervansaray Projesinin Kuşak ve Yol'a dâhil edilmesi memnuniyetle karşılanır.</t>
        </is>
      </c>
      <c r="F15" s="24" t="n"/>
      <c r="G15" s="24" t="n"/>
      <c r="H15" s="24" t="n"/>
      <c r="I15" s="24" t="n"/>
      <c r="J15" s="24" t="n"/>
    </row>
    <row r="16" ht="23.85" customHeight="1" s="13">
      <c r="A16" s="15" t="inlineStr">
        <is>
          <t>A07-11</t>
        </is>
      </c>
      <c r="B16" s="15" t="inlineStr">
        <is>
          <t>A07</t>
        </is>
      </c>
      <c r="C16" s="15" t="inlineStr">
        <is>
          <t>T.C. Resmî Gazete · 2015-11-14</t>
        </is>
      </c>
      <c r="D16" s="15" t="inlineStr">
        <is>
          <t>Ortak belge</t>
        </is>
      </c>
      <c r="E16" s="15" t="inlineStr">
        <is>
          <t>medya, çevre koruma, eğitim, sağlık, kültür, kültür merkezleri, sanat, turizm, yoksulluğun giderilmesi, toplumsal refah vb. konularda işbirliği anlaşmalarının imzalanmasının görüşülmesi;</t>
        </is>
      </c>
      <c r="F16" s="24" t="n"/>
      <c r="G16" s="24" t="n"/>
      <c r="H16" s="24" t="n"/>
      <c r="I16" s="24" t="n"/>
      <c r="J16" s="24" t="n"/>
    </row>
    <row r="17" ht="23.85" customHeight="1" s="13">
      <c r="A17" s="15" t="inlineStr">
        <is>
          <t>A08-01</t>
        </is>
      </c>
      <c r="B17" s="15" t="inlineStr">
        <is>
          <t>A08</t>
        </is>
      </c>
      <c r="C17" s="15" t="inlineStr">
        <is>
          <t>ÇHC Dışişleri Bakanlığı · 2015-11-14</t>
        </is>
      </c>
      <c r="D17" s="15" t="inlineStr">
        <is>
          <t>Çin kaynağı</t>
        </is>
      </c>
      <c r="E17" s="15" t="inlineStr">
        <is>
          <t>Taraflar yakında hükümetler arası "Kuşak ve Yol" inşasını ortaklaşa ilerletme mutabakat zaptını imzalayacak; bu, tarafların "Kuşak ve Yol" çerçevesinde çeşitli alanlarda işbirliğini ilerletmesine önemli politika desteği sağlayacak.</t>
        </is>
      </c>
      <c r="F17" s="24" t="n"/>
      <c r="G17" s="24" t="n"/>
      <c r="H17" s="24" t="n"/>
      <c r="I17" s="24" t="n"/>
      <c r="J17" s="24" t="n"/>
    </row>
    <row r="18" ht="23.85" customHeight="1" s="13">
      <c r="A18" s="15" t="inlineStr">
        <is>
          <t>A08-05</t>
        </is>
      </c>
      <c r="B18" s="15" t="inlineStr">
        <is>
          <t>A08</t>
        </is>
      </c>
      <c r="C18" s="15" t="inlineStr">
        <is>
          <t>ÇHC Dışişleri Bakanlığı · 2015-11-14</t>
        </is>
      </c>
      <c r="D18" s="15" t="inlineStr">
        <is>
          <t>Çin kaynağı</t>
        </is>
      </c>
      <c r="E18" s="15" t="inlineStr">
        <is>
          <t>Türk tarafı Çin ile ilişkilere büyük önem veriyor; karşılıklı saygı temelinde Çin tarafıyla siyaset, ekonomi, enerji, kültür, güvenlik, turizm gibi alanlarda işbirliğini derinleştirmeyi sürdürmek istiyor.</t>
        </is>
      </c>
      <c r="F18" s="24" t="n"/>
      <c r="G18" s="24" t="n"/>
      <c r="H18" s="24" t="n"/>
      <c r="I18" s="24" t="n"/>
      <c r="J18" s="24" t="n"/>
    </row>
    <row r="19" ht="35.05" customHeight="1" s="13">
      <c r="A19" s="15" t="inlineStr">
        <is>
          <t>A09-04</t>
        </is>
      </c>
      <c r="B19" s="15" t="inlineStr">
        <is>
          <t>A09</t>
        </is>
      </c>
      <c r="C19" s="15" t="inlineStr">
        <is>
          <t>ÇHC Dışişleri Bakanlığı · 2016-02-03</t>
        </is>
      </c>
      <c r="D19" s="15" t="inlineStr">
        <is>
          <t>Çin kaynağı</t>
        </is>
      </c>
      <c r="E19" s="15" t="inlineStr">
        <is>
          <t>Bakan Mahir [Ünal], Türkiye ve Çin'in her ikisinin de kadim medeniyetler olduğunu ve dostluklarının çok eskilere dayandığını belirtti.</t>
        </is>
      </c>
      <c r="F19" s="24" t="n"/>
      <c r="G19" s="24" t="n"/>
      <c r="H19" s="24" t="n"/>
      <c r="I19" s="24" t="n"/>
      <c r="J19" s="24" t="n"/>
    </row>
    <row r="20" ht="35.05" customHeight="1" s="13">
      <c r="A20" s="15" t="inlineStr">
        <is>
          <t>A09-06</t>
        </is>
      </c>
      <c r="B20" s="15" t="inlineStr">
        <is>
          <t>A09</t>
        </is>
      </c>
      <c r="C20" s="15" t="inlineStr">
        <is>
          <t>ÇHC Dışişleri Bakanlığı · 2016-02-03</t>
        </is>
      </c>
      <c r="D20" s="15" t="inlineStr">
        <is>
          <t>Çin kaynağı</t>
        </is>
      </c>
      <c r="E20" s="15" t="inlineStr">
        <is>
          <t>Türk tarafı Çin tarafının Türkiye'deki seyahat güvenliği gibi konulardaki kaygılarına büyük önem veriyor ve Çinli turistlere yönelik güvenlik seviyesini yükseltti.</t>
        </is>
      </c>
      <c r="F20" s="24" t="n"/>
      <c r="G20" s="24" t="n"/>
      <c r="H20" s="24" t="n"/>
      <c r="I20" s="24" t="n"/>
      <c r="J20" s="24" t="n"/>
    </row>
    <row r="21" ht="46.25" customHeight="1" s="13">
      <c r="A21" s="15" t="inlineStr">
        <is>
          <t>A10-01</t>
        </is>
      </c>
      <c r="B21" s="15" t="inlineStr">
        <is>
          <t>A10</t>
        </is>
      </c>
      <c r="C21" s="15" t="inlineStr">
        <is>
          <t>Anadolu Ajansı · 2018-04-17</t>
        </is>
      </c>
      <c r="D21" s="15" t="inlineStr">
        <is>
          <t>Türk kaynağı</t>
        </is>
      </c>
      <c r="E21" s="15" t="inlineStr">
        <is>
          <t>"China will become one of the most important tourism partners of Turkey in the very near future," Kurtulmus told reporters at the 14th China International Tourism and Travel Fair in the capital Beijing.</t>
        </is>
      </c>
      <c r="F21" s="24" t="n"/>
      <c r="G21" s="24" t="n"/>
      <c r="H21" s="24" t="n"/>
      <c r="I21" s="24" t="n"/>
      <c r="J21" s="24" t="n"/>
    </row>
    <row r="22" ht="35.05" customHeight="1" s="13">
      <c r="A22" s="15" t="inlineStr">
        <is>
          <t>A10-04</t>
        </is>
      </c>
      <c r="B22" s="15" t="inlineStr">
        <is>
          <t>A10</t>
        </is>
      </c>
      <c r="C22" s="15" t="inlineStr">
        <is>
          <t>Anadolu Ajansı · 2018-04-17</t>
        </is>
      </c>
      <c r="D22" s="15" t="inlineStr">
        <is>
          <t>Türk kaynağı</t>
        </is>
      </c>
      <c r="E22" s="15" t="inlineStr">
        <is>
          <t>According to the Turkish Foreign Ministry website, Ankara considers tourism as a sector with the "potential" to further enhance cultural and economic ties with Beijing.</t>
        </is>
      </c>
      <c r="F22" s="24" t="n"/>
      <c r="G22" s="24" t="n"/>
      <c r="H22" s="24" t="n"/>
      <c r="I22" s="24" t="n"/>
      <c r="J22" s="24" t="n"/>
    </row>
    <row r="23" ht="35.05" customHeight="1" s="13">
      <c r="A23" s="15" t="inlineStr">
        <is>
          <t>A11-02</t>
        </is>
      </c>
      <c r="B23" s="15" t="inlineStr">
        <is>
          <t>A11</t>
        </is>
      </c>
      <c r="C23" s="15" t="inlineStr">
        <is>
          <t>ÇHC Dışişleri Bakanlığı · 2018-04-19</t>
        </is>
      </c>
      <c r="D23" s="15" t="inlineStr">
        <is>
          <t>Çin kaynağı</t>
        </is>
      </c>
      <c r="E23" s="15" t="inlineStr">
        <is>
          <t>Both sides should enrich people-to-people and cultural exchanges to expand the public opinion foundation of China-Turkey friendship.</t>
        </is>
      </c>
      <c r="F23" s="24" t="n"/>
      <c r="G23" s="24" t="n"/>
      <c r="H23" s="24" t="n"/>
      <c r="I23" s="24" t="n"/>
      <c r="J23" s="24" t="n"/>
    </row>
    <row r="24" ht="35.05" customHeight="1" s="13">
      <c r="A24" s="15" t="inlineStr">
        <is>
          <t>A12-02</t>
        </is>
      </c>
      <c r="B24" s="15" t="inlineStr">
        <is>
          <t>A12</t>
        </is>
      </c>
      <c r="C24" s="15" t="inlineStr">
        <is>
          <t>T.C. Pekin Büyükelçiliği · 2018-04-23</t>
        </is>
      </c>
      <c r="D24" s="15" t="inlineStr">
        <is>
          <t>Türk kaynağı</t>
        </is>
      </c>
      <c r="E24" s="15" t="inlineStr">
        <is>
          <t>We are looking forward to increasing the percentage of Chinese tourists in this already varied demographic.</t>
        </is>
      </c>
      <c r="F24" s="24" t="n"/>
      <c r="G24" s="24" t="n"/>
      <c r="H24" s="24" t="n"/>
      <c r="I24" s="24" t="n"/>
      <c r="J24" s="24" t="n"/>
    </row>
    <row r="25" ht="23.85" customHeight="1" s="13">
      <c r="A25" s="15" t="inlineStr">
        <is>
          <t>A12-07</t>
        </is>
      </c>
      <c r="B25" s="15" t="inlineStr">
        <is>
          <t>A12</t>
        </is>
      </c>
      <c r="C25" s="15" t="inlineStr">
        <is>
          <t>T.C. Pekin Büyükelçiliği · 2018-04-23</t>
        </is>
      </c>
      <c r="D25" s="15" t="inlineStr">
        <is>
          <t>Türk kaynağı</t>
        </is>
      </c>
      <c r="E25" s="15" t="inlineStr">
        <is>
          <t>Moreover, holders of diplomatic, service and official Chinese passports are visa-exempt.</t>
        </is>
      </c>
      <c r="F25" s="24" t="n"/>
      <c r="G25" s="24" t="n"/>
      <c r="H25" s="24" t="n"/>
      <c r="I25" s="24" t="n"/>
      <c r="J25" s="24" t="n"/>
    </row>
    <row r="26" ht="23.85" customHeight="1" s="13">
      <c r="A26" s="15" t="inlineStr">
        <is>
          <t>A12-08</t>
        </is>
      </c>
      <c r="B26" s="15" t="inlineStr">
        <is>
          <t>A12</t>
        </is>
      </c>
      <c r="C26" s="15" t="inlineStr">
        <is>
          <t>T.C. Pekin Büyükelçiliği · 2018-04-23</t>
        </is>
      </c>
      <c r="D26" s="15" t="inlineStr">
        <is>
          <t>Türk kaynağı</t>
        </is>
      </c>
      <c r="E26" s="15" t="inlineStr">
        <is>
          <t>This year is celebrated as the Turkey Tourism Year in China.</t>
        </is>
      </c>
      <c r="F26" s="24" t="n"/>
      <c r="G26" s="24" t="n"/>
      <c r="H26" s="24" t="n"/>
      <c r="I26" s="24" t="n"/>
      <c r="J26" s="24" t="n"/>
    </row>
    <row r="27" ht="23.85" customHeight="1" s="13">
      <c r="A27" s="15" t="inlineStr">
        <is>
          <t>A12-10</t>
        </is>
      </c>
      <c r="B27" s="15" t="inlineStr">
        <is>
          <t>A12</t>
        </is>
      </c>
      <c r="C27" s="15" t="inlineStr">
        <is>
          <t>T.C. Pekin Büyükelçiliği · 2018-04-23</t>
        </is>
      </c>
      <c r="D27" s="15" t="inlineStr">
        <is>
          <t>Türk kaynağı</t>
        </is>
      </c>
      <c r="E27" s="15" t="inlineStr">
        <is>
          <t>Turkish Airlines, one of Turkey's biggest companies, is successfully investing in China, operating 28 direct flights between Beijing, Shanghai, Guangzhou, Hong Kong and Istanbul each week.</t>
        </is>
      </c>
      <c r="F27" s="24" t="n"/>
      <c r="G27" s="24" t="n"/>
      <c r="H27" s="24" t="n"/>
      <c r="I27" s="24" t="n"/>
      <c r="J27" s="24" t="n"/>
    </row>
    <row r="28" ht="35.05" customHeight="1" s="13">
      <c r="A28" s="15" t="inlineStr">
        <is>
          <t>A12-15</t>
        </is>
      </c>
      <c r="B28" s="15" t="inlineStr">
        <is>
          <t>A12</t>
        </is>
      </c>
      <c r="C28" s="15" t="inlineStr">
        <is>
          <t>T.C. Pekin Büyükelçiliği · 2018-04-23</t>
        </is>
      </c>
      <c r="D28" s="15" t="inlineStr">
        <is>
          <t>Türk kaynağı</t>
        </is>
      </c>
      <c r="E28" s="15" t="inlineStr">
        <is>
          <t>Turkish Airlines would like to extend its operations to several Chinese destinations other than Beijing, Shanghai, Guangzhou and Hong Kong in the near future.</t>
        </is>
      </c>
      <c r="F28" s="24" t="n"/>
      <c r="G28" s="24" t="n"/>
      <c r="H28" s="24" t="n"/>
      <c r="I28" s="24" t="n"/>
      <c r="J28" s="24" t="n"/>
    </row>
    <row r="29" ht="23.85" customHeight="1" s="13">
      <c r="A29" s="15" t="inlineStr">
        <is>
          <t>A12-26</t>
        </is>
      </c>
      <c r="B29" s="15" t="inlineStr">
        <is>
          <t>A12</t>
        </is>
      </c>
      <c r="C29" s="15" t="inlineStr">
        <is>
          <t>T.C. Pekin Büyükelçiliği · 2018-04-23</t>
        </is>
      </c>
      <c r="D29" s="15" t="inlineStr">
        <is>
          <t>Türk kaynağı</t>
        </is>
      </c>
      <c r="E29" s="15" t="inlineStr">
        <is>
          <t>When completed, the new Istanbul Airport will be the world's largest in terms of annual passenger capacity.</t>
        </is>
      </c>
      <c r="F29" s="24" t="n"/>
      <c r="G29" s="24" t="n"/>
      <c r="H29" s="24" t="n"/>
      <c r="I29" s="24" t="n"/>
      <c r="J29" s="24" t="n"/>
    </row>
    <row r="30" ht="23.85" customHeight="1" s="13">
      <c r="A30" s="15" t="inlineStr">
        <is>
          <t>A13-01</t>
        </is>
      </c>
      <c r="B30" s="15" t="inlineStr">
        <is>
          <t>A13</t>
        </is>
      </c>
      <c r="C30" s="15" t="inlineStr">
        <is>
          <t>ÇHC Dışişleri Bakanlığı · 2019-07-02</t>
        </is>
      </c>
      <c r="D30" s="15" t="inlineStr">
        <is>
          <t>Çin kaynağı</t>
        </is>
      </c>
      <c r="E30" s="15" t="inlineStr">
        <is>
          <t>Türkiye "Kuşak ve Yol"un ortak inşasında önemli bir ortaktır; Çin tarafı Türk tarafıyla "Kuşak ve Yol" girişimi ile "Orta Koridor" planının uyumlaştırılmasını hızlandırmak istiyor.</t>
        </is>
      </c>
      <c r="F30" s="24" t="n"/>
      <c r="G30" s="24" t="n"/>
      <c r="H30" s="24" t="n"/>
      <c r="I30" s="24" t="n"/>
      <c r="J30" s="24" t="n"/>
    </row>
    <row r="31" ht="46.25" customHeight="1" s="13">
      <c r="A31" s="15" t="inlineStr">
        <is>
          <t>A14-05</t>
        </is>
      </c>
      <c r="B31" s="15" t="inlineStr">
        <is>
          <t>A14</t>
        </is>
      </c>
      <c r="C31" s="15" t="inlineStr">
        <is>
          <t>T.C. Pekin Büyükelçiliği · 2019-12-30</t>
        </is>
      </c>
      <c r="D31" s="15" t="inlineStr">
        <is>
          <t>Türk kaynağı</t>
        </is>
      </c>
      <c r="E31" s="15" t="inlineStr">
        <is>
          <t>Sivil havacılıktaki ikili işbirliğimize her daim “kazan-kazan” ilkesiyle yaklaştık. Bu çerçevede, Türk ve Çinli havayolu şirketlerinin iki ülke arasında karşılıklı doğrudan uçuşlarını artırmakta olmalarından büyük memnuniyet duyuyoruz.</t>
        </is>
      </c>
      <c r="F31" s="24" t="n"/>
      <c r="G31" s="24" t="n"/>
      <c r="H31" s="24" t="n"/>
      <c r="I31" s="24" t="n"/>
      <c r="J31" s="24" t="n"/>
    </row>
    <row r="32" ht="35.05" customHeight="1" s="13">
      <c r="A32" s="15" t="inlineStr">
        <is>
          <t>A14-09</t>
        </is>
      </c>
      <c r="B32" s="15" t="inlineStr">
        <is>
          <t>A14</t>
        </is>
      </c>
      <c r="C32" s="15" t="inlineStr">
        <is>
          <t>T.C. Pekin Büyükelçiliği · 2019-12-30</t>
        </is>
      </c>
      <c r="D32" s="15" t="inlineStr">
        <is>
          <t>Türk kaynağı</t>
        </is>
      </c>
      <c r="E32" s="15" t="inlineStr">
        <is>
          <t>Çin makamlarının karşılıklı seferleri teşvik etmeyi sürdürmesini bekliyor, 2020 yılında yeni hatların faaliyete geçmesini temenni ediyoruz.</t>
        </is>
      </c>
      <c r="F32" s="24" t="n"/>
      <c r="G32" s="24" t="n"/>
      <c r="H32" s="24" t="n"/>
      <c r="I32" s="24" t="n"/>
      <c r="J32" s="24" t="n"/>
    </row>
    <row r="33" ht="35.05" customHeight="1" s="13">
      <c r="A33" s="15" t="inlineStr">
        <is>
          <t>A15-04</t>
        </is>
      </c>
      <c r="B33" s="15" t="inlineStr">
        <is>
          <t>A15</t>
        </is>
      </c>
      <c r="C33" s="15" t="inlineStr">
        <is>
          <t>T.C. Pekin Büyükelçiliği · 2020-09-28</t>
        </is>
      </c>
      <c r="D33" s="15" t="inlineStr">
        <is>
          <t>Türk kaynağı</t>
        </is>
      </c>
      <c r="E33" s="15" t="inlineStr">
        <is>
          <t>I proudly announce here that this place, where the history has begun, is located in Şanlıurfa, the city where my hometown is.</t>
        </is>
      </c>
      <c r="F33" s="24" t="n"/>
      <c r="G33" s="24" t="n"/>
      <c r="H33" s="24" t="n"/>
      <c r="I33" s="24" t="n"/>
      <c r="J33" s="24" t="n"/>
    </row>
    <row r="34" ht="57.45" customHeight="1" s="13">
      <c r="A34" s="15" t="inlineStr">
        <is>
          <t>A15-07</t>
        </is>
      </c>
      <c r="B34" s="15" t="inlineStr">
        <is>
          <t>A15</t>
        </is>
      </c>
      <c r="C34" s="15" t="inlineStr">
        <is>
          <t>T.C. Pekin Büyükelçiliği · 2020-09-28</t>
        </is>
      </c>
      <c r="D34" s="15" t="inlineStr">
        <is>
          <t>Türk kaynağı</t>
        </is>
      </c>
      <c r="E34" s="15" t="inlineStr">
        <is>
          <t>After the pandemic, we aim at increasing this number up to one million. Bearing in mind that Turkey hosts more than 45 million visitors every year, 1 million Chinese visitors could be regarded as quite low.</t>
        </is>
      </c>
      <c r="F34" s="24" t="n"/>
      <c r="G34" s="24" t="n"/>
      <c r="H34" s="24" t="n"/>
      <c r="I34" s="24" t="n"/>
      <c r="J34" s="24" t="n"/>
    </row>
    <row r="35" ht="35.05" customHeight="1" s="13">
      <c r="A35" s="15" t="inlineStr">
        <is>
          <t>A16-01</t>
        </is>
      </c>
      <c r="B35" s="15" t="inlineStr">
        <is>
          <t>A16</t>
        </is>
      </c>
      <c r="C35" s="15" t="inlineStr">
        <is>
          <t>T.C. Pekin Büyükelçiliği · 2020-12-23</t>
        </is>
      </c>
      <c r="D35" s="15" t="inlineStr">
        <is>
          <t>Türk kaynağı</t>
        </is>
      </c>
      <c r="E35" s="15" t="inlineStr">
        <is>
          <t>The train, which recently arrived to Xi’an from Çerkezköy near Istanbul in just over two weeks, followed the Trans Caspian East-West Middle Corridor by passing through two continents, two seas,five countries and covering almost 8,700 kilometers.</t>
        </is>
      </c>
      <c r="F35" s="24" t="n"/>
      <c r="G35" s="24" t="n"/>
      <c r="H35" s="24" t="n"/>
      <c r="I35" s="24" t="n"/>
      <c r="J35" s="24" t="n"/>
    </row>
    <row r="36" ht="35.05" customHeight="1" s="13">
      <c r="A36" s="15" t="inlineStr">
        <is>
          <t>A16-08</t>
        </is>
      </c>
      <c r="B36" s="15" t="inlineStr">
        <is>
          <t>A16</t>
        </is>
      </c>
      <c r="C36" s="15" t="inlineStr">
        <is>
          <t>T.C. Pekin Büyükelçiliği · 2020-12-23</t>
        </is>
      </c>
      <c r="D36" s="15" t="inlineStr">
        <is>
          <t>Türk kaynağı</t>
        </is>
      </c>
      <c r="E36" s="15" t="inlineStr">
        <is>
          <t>And some of these recent mega-construction projects in Turkey are materialized with Chinese partnership, and more are being planned.</t>
        </is>
      </c>
      <c r="F36" s="24" t="n"/>
      <c r="G36" s="24" t="n"/>
      <c r="H36" s="24" t="n"/>
      <c r="I36" s="24" t="n"/>
      <c r="J36" s="24" t="n"/>
    </row>
    <row r="37" ht="35.05" customHeight="1" s="13">
      <c r="A37" s="15" t="inlineStr">
        <is>
          <t>A16-11</t>
        </is>
      </c>
      <c r="B37" s="15" t="inlineStr">
        <is>
          <t>A16</t>
        </is>
      </c>
      <c r="C37" s="15" t="inlineStr">
        <is>
          <t>T.C. Pekin Büyükelçiliği · 2020-12-23</t>
        </is>
      </c>
      <c r="D37" s="15" t="inlineStr">
        <is>
          <t>Türk kaynağı</t>
        </is>
      </c>
      <c r="E37" s="15" t="inlineStr">
        <is>
          <t>Highly qualified Turkish brands and products, which are well sought-after in many parts of the world, will become more available in the Chinese market.</t>
        </is>
      </c>
      <c r="F37" s="24" t="n"/>
      <c r="G37" s="24" t="n"/>
      <c r="H37" s="24" t="n"/>
      <c r="I37" s="24" t="n"/>
      <c r="J37" s="24" t="n"/>
    </row>
    <row r="38" ht="23.85" customHeight="1" s="13">
      <c r="A38" s="15" t="inlineStr">
        <is>
          <t>A17-01</t>
        </is>
      </c>
      <c r="B38" s="15" t="inlineStr">
        <is>
          <t>A17</t>
        </is>
      </c>
      <c r="C38" s="15" t="inlineStr">
        <is>
          <t>ÇHC Ankara Büyükelçiliği · 2023-05-26</t>
        </is>
      </c>
      <c r="D38" s="15" t="inlineStr">
        <is>
          <t>Çin kaynağı</t>
        </is>
      </c>
      <c r="E38" s="15" t="inlineStr">
        <is>
          <t>Binlerce yıldır，Çin, Türkiye’nin de aralarında olduğu güzergah üzerindeki halklarla birlikte İpek Yolu'nun ortaya çıkışını ve refahını desteklemiş, medeniyetlerin birbirleriyle etkileşimine, dünyanın zenginleşmesine ve kalkınmasına tarihi bir katkıda bulunmuştur.</t>
        </is>
      </c>
      <c r="F38" s="24" t="n"/>
      <c r="G38" s="24" t="n"/>
      <c r="H38" s="24" t="n"/>
      <c r="I38" s="24" t="n"/>
      <c r="J38" s="24" t="n"/>
    </row>
    <row r="39" ht="35.05" customHeight="1" s="13">
      <c r="A39" s="15" t="inlineStr">
        <is>
          <t>A17-07</t>
        </is>
      </c>
      <c r="B39" s="15" t="inlineStr">
        <is>
          <t>A17</t>
        </is>
      </c>
      <c r="C39" s="15" t="inlineStr">
        <is>
          <t>ÇHC Ankara Büyükelçiliği · 2023-05-26</t>
        </is>
      </c>
      <c r="D39" s="15" t="inlineStr">
        <is>
          <t>Çin kaynağı</t>
        </is>
      </c>
      <c r="E39" s="15" t="inlineStr">
        <is>
          <t>İnisiyatif, 3.000'den fazla işbirliği projenin oluşumuna ve yaklaşık 1 trilyon USD tutarında yatırıma vesile olmuş, güzergâh üzerindeki ülkelerde 420.000 kişiye istihdam yaratmış ve insanlara gerçek faydalar sağlamıştır.</t>
        </is>
      </c>
      <c r="F39" s="24" t="n"/>
      <c r="G39" s="24" t="n"/>
      <c r="H39" s="24" t="n"/>
      <c r="I39" s="24" t="n"/>
      <c r="J39" s="24" t="n"/>
    </row>
    <row r="40" ht="35.05" customHeight="1" s="13">
      <c r="A40" s="15" t="inlineStr">
        <is>
          <t>A18-02</t>
        </is>
      </c>
      <c r="B40" s="15" t="inlineStr">
        <is>
          <t>A18</t>
        </is>
      </c>
      <c r="C40" s="15" t="inlineStr">
        <is>
          <t>T.C. Pekin Büyükelçiliği · 2023-10-25</t>
        </is>
      </c>
      <c r="D40" s="15" t="inlineStr">
        <is>
          <t>Türk kaynağı</t>
        </is>
      </c>
      <c r="E40" s="15" t="inlineStr">
        <is>
          <t>For instance, starting from the time of Ming Dynasty, Ottoman and Chinese Emperors have exchanged various precious gifts through the Silk Road.</t>
        </is>
      </c>
      <c r="F40" s="24" t="n"/>
      <c r="G40" s="24" t="n"/>
      <c r="H40" s="24" t="n"/>
      <c r="I40" s="24" t="n"/>
      <c r="J40" s="24" t="n"/>
    </row>
    <row r="41" ht="23.85" customHeight="1" s="13">
      <c r="A41" s="15" t="inlineStr">
        <is>
          <t>A18-06</t>
        </is>
      </c>
      <c r="B41" s="15" t="inlineStr">
        <is>
          <t>A18</t>
        </is>
      </c>
      <c r="C41" s="15" t="inlineStr">
        <is>
          <t>T.C. Pekin Büyükelçiliği · 2023-10-25</t>
        </is>
      </c>
      <c r="D41" s="15" t="inlineStr">
        <is>
          <t>Türk kaynağı</t>
        </is>
      </c>
      <c r="E41" s="15" t="inlineStr">
        <is>
          <t>This is why we put forth the Middle Corridor initiative, which starts from Türkiye in the west, and after crossing the Caucasus, the Caspian Sea and the Central Asian Republics, reaches China.</t>
        </is>
      </c>
      <c r="F41" s="24" t="n"/>
      <c r="G41" s="24" t="n"/>
      <c r="H41" s="24" t="n"/>
      <c r="I41" s="24" t="n"/>
      <c r="J41" s="24" t="n"/>
    </row>
    <row r="42" ht="35.05" customHeight="1" s="13">
      <c r="A42" s="15" t="inlineStr">
        <is>
          <t>A18-08</t>
        </is>
      </c>
      <c r="B42" s="15" t="inlineStr">
        <is>
          <t>A18</t>
        </is>
      </c>
      <c r="C42" s="15" t="inlineStr">
        <is>
          <t>T.C. Pekin Büyükelçiliği · 2023-10-25</t>
        </is>
      </c>
      <c r="D42" s="15" t="inlineStr">
        <is>
          <t>Türk kaynağı</t>
        </is>
      </c>
      <c r="E42" s="15" t="inlineStr">
        <is>
          <t>In 2015, we have signed a Memorandum of Understanding (MoU) with China, to align the two initiatives in order to avoid duplications, raise efficiencies and increase our cooperation.</t>
        </is>
      </c>
      <c r="F42" s="24" t="n"/>
      <c r="G42" s="24" t="n"/>
      <c r="H42" s="24" t="n"/>
      <c r="I42" s="24" t="n"/>
      <c r="J42" s="24" t="n"/>
    </row>
    <row r="43" ht="23.85" customHeight="1" s="13">
      <c r="A43" s="15" t="inlineStr">
        <is>
          <t>A18-13</t>
        </is>
      </c>
      <c r="B43" s="15" t="inlineStr">
        <is>
          <t>A18</t>
        </is>
      </c>
      <c r="C43" s="15" t="inlineStr">
        <is>
          <t>T.C. Pekin Büyükelçiliği · 2023-10-25</t>
        </is>
      </c>
      <c r="D43" s="15" t="inlineStr">
        <is>
          <t>Türk kaynağı</t>
        </is>
      </c>
      <c r="E43" s="15" t="inlineStr">
        <is>
          <t>I believe that Türkiye, as the 4th most popular tourist destination in the world, features vast attractions for Chinese tourists.</t>
        </is>
      </c>
      <c r="F43" s="24" t="n"/>
      <c r="G43" s="24" t="n"/>
      <c r="H43" s="24" t="n"/>
      <c r="I43" s="24" t="n"/>
      <c r="J43" s="24" t="n"/>
    </row>
    <row r="44" ht="35.05" customHeight="1" s="13">
      <c r="A44" s="15" t="inlineStr">
        <is>
          <t>A19-01</t>
        </is>
      </c>
      <c r="B44" s="15" t="inlineStr">
        <is>
          <t>A19</t>
        </is>
      </c>
      <c r="C44" s="15" t="inlineStr">
        <is>
          <t>ÇHC Dışişleri Bakanlığı · 2024-06-04</t>
        </is>
      </c>
      <c r="D44" s="15" t="inlineStr">
        <is>
          <t>Çin kaynağı</t>
        </is>
      </c>
      <c r="E44" s="15" t="inlineStr">
        <is>
          <t>Çin ve Türkiye Avrasya kıtasının doğu ve batı uçlarında yer alır; bin yıllık İpek Yolu iki ülkeyi sıkı biçimde birbirine bağlamıştır.</t>
        </is>
      </c>
      <c r="F44" s="24" t="n"/>
      <c r="G44" s="24" t="n"/>
      <c r="H44" s="24" t="n"/>
      <c r="I44" s="24" t="n"/>
      <c r="J44" s="24" t="n"/>
    </row>
    <row r="45" ht="35.05" customHeight="1" s="13">
      <c r="A45" s="15" t="inlineStr">
        <is>
          <t>A20-02</t>
        </is>
      </c>
      <c r="B45" s="15" t="inlineStr">
        <is>
          <t>A20</t>
        </is>
      </c>
      <c r="C45" s="15" t="inlineStr">
        <is>
          <t>ÇHC Kültür ve Turizm Bakanlığı · 2024-06-05</t>
        </is>
      </c>
      <c r="D45" s="15" t="inlineStr">
        <is>
          <t>Çin kaynağı</t>
        </is>
      </c>
      <c r="E45" s="15" t="inlineStr">
        <is>
          <t>Görüşmenin ardından Sun Yeli ve Ersoy, "ÇHC Kültür ve Turizm Bakanlığı ile Türkiye Cumhuriyeti Kültür ve Turizm Bakanlığı Arasında Turizm İşbirliğine İlişkin Mutabakat Zaptı"nı birlikte imzaladı.</t>
        </is>
      </c>
      <c r="F45" s="24" t="n"/>
      <c r="G45" s="24" t="n"/>
      <c r="H45" s="24" t="n"/>
      <c r="I45" s="24" t="n"/>
      <c r="J45" s="24" t="n"/>
    </row>
    <row r="46" ht="23.85" customHeight="1" s="13">
      <c r="A46" s="15" t="inlineStr">
        <is>
          <t>A21-02</t>
        </is>
      </c>
      <c r="B46" s="15" t="inlineStr">
        <is>
          <t>A21</t>
        </is>
      </c>
      <c r="C46" s="15" t="inlineStr">
        <is>
          <t>Kuşak ve Yol Portalı · 2025-05-06</t>
        </is>
      </c>
      <c r="D46" s="15" t="inlineStr">
        <is>
          <t>Çin kaynağı</t>
        </is>
      </c>
      <c r="E46" s="15" t="inlineStr">
        <is>
          <t>"We are working on many initiatives in the tourism sector simultaneously to ensure that our Chinese guests can experience the beauty of our country, feel at home, and host more and more Chinese guests every year," Ersoy said.</t>
        </is>
      </c>
      <c r="F46" s="24" t="n"/>
      <c r="G46" s="24" t="n"/>
      <c r="H46" s="24" t="n"/>
      <c r="I46" s="24" t="n"/>
      <c r="J46" s="24" t="n"/>
    </row>
    <row r="47" ht="23.85" customHeight="1" s="13">
      <c r="A47" s="15" t="inlineStr">
        <is>
          <t>A21-03</t>
        </is>
      </c>
      <c r="B47" s="15" t="inlineStr">
        <is>
          <t>A21</t>
        </is>
      </c>
      <c r="C47" s="15" t="inlineStr">
        <is>
          <t>Kuşak ve Yol Portalı · 2025-05-06</t>
        </is>
      </c>
      <c r="D47" s="15" t="inlineStr">
        <is>
          <t>Çin kaynağı</t>
        </is>
      </c>
      <c r="E47" s="15" t="inlineStr">
        <is>
          <t>"In response, Türkiye is spotlighting a broader array of destinations, including Silk Road routes that span the country, and offering unique experiences such as Night Museums and gastronomic tours," Ersoy said.</t>
        </is>
      </c>
      <c r="F47" s="24" t="n"/>
      <c r="G47" s="24" t="n"/>
      <c r="H47" s="24" t="n"/>
      <c r="I47" s="24" t="n"/>
      <c r="J47" s="24" t="n"/>
    </row>
    <row r="48" ht="35.05" customHeight="1" s="13">
      <c r="A48" s="15" t="inlineStr">
        <is>
          <t>A22-02</t>
        </is>
      </c>
      <c r="B48" s="15" t="inlineStr">
        <is>
          <t>A22</t>
        </is>
      </c>
      <c r="C48" s="15" t="inlineStr">
        <is>
          <t>ÇHC Dışişleri Bakanlığı · 2025-08-31</t>
        </is>
      </c>
      <c r="D48" s="15" t="inlineStr">
        <is>
          <t>Çin kaynağı</t>
        </is>
      </c>
      <c r="E48" s="15" t="inlineStr">
        <is>
          <t>advance the development of the southbound passage of the China-Europe Railway Express</t>
        </is>
      </c>
      <c r="F48" s="24" t="n"/>
      <c r="G48" s="24" t="n"/>
      <c r="H48" s="24" t="n"/>
      <c r="I48" s="24" t="n"/>
      <c r="J48" s="24" t="n"/>
    </row>
    <row r="49" ht="35.05" customHeight="1" s="13">
      <c r="A49" s="15" t="inlineStr">
        <is>
          <t>A23-02</t>
        </is>
      </c>
      <c r="B49" s="15" t="inlineStr">
        <is>
          <t>A23</t>
        </is>
      </c>
      <c r="C49" s="15" t="inlineStr">
        <is>
          <t>T.C. Cumhurbaşkanlığı İletişim Başkanlığı · 2025-08-31</t>
        </is>
      </c>
      <c r="D49" s="15" t="inlineStr">
        <is>
          <t>Türk kaynağı</t>
        </is>
      </c>
      <c r="E49" s="15" t="inlineStr">
        <is>
          <t>Cumhurbaşkanı Erdoğan, Orta Koridor ile Yol ve Kuşak Girişiminin uyumlaştırılması için müşterek adımlar atılmasının önemli olduğunu belirtti.</t>
        </is>
      </c>
      <c r="F49" s="24" t="n"/>
      <c r="G49" s="24" t="n"/>
      <c r="H49" s="24" t="n"/>
      <c r="I49" s="24" t="n"/>
      <c r="J49" s="24" t="n"/>
    </row>
    <row r="50" ht="35.05" customHeight="1" s="13">
      <c r="A50" s="15" t="inlineStr">
        <is>
          <t>A24-01</t>
        </is>
      </c>
      <c r="B50" s="15" t="inlineStr">
        <is>
          <t>A24</t>
        </is>
      </c>
      <c r="C50" s="15" t="inlineStr">
        <is>
          <t>T.C. Pekin Büyükelçiliği · 2026-05-25</t>
        </is>
      </c>
      <c r="D50" s="15" t="inlineStr">
        <is>
          <t>Türk kaynağı</t>
        </is>
      </c>
      <c r="E50" s="15" t="inlineStr">
        <is>
          <t>Thanks to the Silk Road, cultural and economic exchanges have continued to serve for cooperation between our two great civilizations. The Chinese porcelains displayed in the Ottoman Court show the depth of this relationship.</t>
        </is>
      </c>
      <c r="F50" s="24" t="n"/>
      <c r="G50" s="24" t="n"/>
      <c r="H50" s="24" t="n"/>
      <c r="I50" s="24" t="n"/>
      <c r="J50" s="24" t="n"/>
    </row>
    <row r="51" ht="35.05" customHeight="1" s="13">
      <c r="A51" s="15" t="inlineStr">
        <is>
          <t>A24-07</t>
        </is>
      </c>
      <c r="B51" s="15" t="inlineStr">
        <is>
          <t>A24</t>
        </is>
      </c>
      <c r="C51" s="15" t="inlineStr">
        <is>
          <t>T.C. Pekin Büyükelçiliği · 2026-05-25</t>
        </is>
      </c>
      <c r="D51" s="15" t="inlineStr">
        <is>
          <t>Türk kaynağı</t>
        </is>
      </c>
      <c r="E51" s="15" t="inlineStr">
        <is>
          <t>China is surely like Türkiye one of the cradles and lighthouses of the world civilization.</t>
        </is>
      </c>
      <c r="F51" s="24" t="n"/>
      <c r="G51" s="24" t="n"/>
      <c r="H51" s="24" t="n"/>
      <c r="I51" s="24" t="n"/>
      <c r="J51" s="24" t="n"/>
    </row>
    <row r="52" ht="35.05" customHeight="1" s="13">
      <c r="A52" s="15" t="inlineStr">
        <is>
          <t>A25-01</t>
        </is>
      </c>
      <c r="B52" s="15" t="inlineStr">
        <is>
          <t>A25</t>
        </is>
      </c>
      <c r="C52" s="15" t="inlineStr">
        <is>
          <t>ÇHC Dışişleri Bakanlığı · 2026-09-20</t>
        </is>
      </c>
      <c r="D52" s="15" t="inlineStr">
        <is>
          <t>Çin kaynağı</t>
        </is>
      </c>
      <c r="E52" s="15" t="inlineStr">
        <is>
          <t>Türkiye'deki Çin Büyükelçiliği, Türkiye Kültür ve Turizm Bakanlığı ve Türkiye Çinli İş İnsanları Derneği ile işbirliği içinde Ankara Cumhurbaşkanlığı Konser Salonu'nda Çin-Türkiye diplomatik ilişkilerinin 55. yılını kutlayan "İpek Yolu Ezgisi" konserini düzenledi.</t>
        </is>
      </c>
      <c r="F52" s="24" t="n"/>
      <c r="G52" s="24" t="n"/>
      <c r="H52" s="24" t="n"/>
      <c r="I52" s="24" t="n"/>
      <c r="J52" s="24" t="n"/>
    </row>
    <row r="53" ht="23.85" customHeight="1" s="13">
      <c r="A53" s="15" t="inlineStr">
        <is>
          <t>B01-02</t>
        </is>
      </c>
      <c r="B53" s="15" t="inlineStr">
        <is>
          <t>B01</t>
        </is>
      </c>
      <c r="C53" s="15" t="inlineStr">
        <is>
          <t>Çin Halk Cumhuriyeti Dışişleri Bakanlığı · 2013-09-07</t>
        </is>
      </c>
      <c r="D53" s="15" t="inlineStr">
        <is>
          <t>Çin kaynağı</t>
        </is>
      </c>
      <c r="E53" s="15" t="inlineStr">
        <is>
          <t>Kazakhstan, as a major stop along the ancient Silk Road, has made important contributions to the exchanges and cooperation between different nationalities and cultures.</t>
        </is>
      </c>
      <c r="F53" s="24" t="n"/>
      <c r="G53" s="24" t="n"/>
      <c r="H53" s="24" t="n"/>
      <c r="I53" s="24" t="n"/>
      <c r="J53" s="24" t="n"/>
    </row>
    <row r="54" ht="23.85" customHeight="1" s="13">
      <c r="A54" s="15" t="inlineStr">
        <is>
          <t>B01-05</t>
        </is>
      </c>
      <c r="B54" s="15" t="inlineStr">
        <is>
          <t>B01</t>
        </is>
      </c>
      <c r="C54" s="15" t="inlineStr">
        <is>
          <t>Çin Halk Cumhuriyeti Dışişleri Bakanlığı · 2013-09-07</t>
        </is>
      </c>
      <c r="D54" s="15" t="inlineStr">
        <is>
          <t>Çin kaynağı</t>
        </is>
      </c>
      <c r="E54" s="15" t="inlineStr">
        <is>
          <t>the ancient Silk Road is becoming full of new vitality with the rapid development of China's relations with Asian and European countries.</t>
        </is>
      </c>
      <c r="F54" s="24" t="n"/>
      <c r="G54" s="24" t="n"/>
      <c r="H54" s="24" t="n"/>
      <c r="I54" s="24" t="n"/>
      <c r="J54" s="24" t="n"/>
    </row>
    <row r="55" ht="35.05" customHeight="1" s="13">
      <c r="A55" s="15" t="inlineStr">
        <is>
          <t>B02-03</t>
        </is>
      </c>
      <c r="B55" s="15" t="inlineStr">
        <is>
          <t>B02</t>
        </is>
      </c>
      <c r="C55" s="15" t="inlineStr">
        <is>
          <t>ÇHC Ulusal Kalkınma ve Reform Komisyonu, Dışişleri Bakanlığı ve Ticaret Bakanlığı · 2015-03-28</t>
        </is>
      </c>
      <c r="D55" s="15" t="inlineStr">
        <is>
          <t>Çin kaynağı</t>
        </is>
      </c>
      <c r="E55" s="15" t="inlineStr">
        <is>
          <t>The Chinese government has drafted and published the Vision and Actions on Jointly Building Silk Road Economic Belt and 21st-Century Maritime Silk Road to promote the implementation of the Initiative, instill vigor and vitality into the ancient Silk Road</t>
        </is>
      </c>
      <c r="F55" s="24" t="n"/>
      <c r="G55" s="24" t="n"/>
      <c r="H55" s="24" t="n"/>
      <c r="I55" s="24" t="n"/>
      <c r="J55" s="24" t="n"/>
    </row>
    <row r="56" ht="23.85" customHeight="1" s="13">
      <c r="A56" s="15" t="inlineStr">
        <is>
          <t>B02-06</t>
        </is>
      </c>
      <c r="B56" s="15" t="inlineStr">
        <is>
          <t>B02</t>
        </is>
      </c>
      <c r="C56" s="15" t="inlineStr">
        <is>
          <t>ÇHC Ulusal Kalkınma ve Reform Komisyonu, Dışişleri Bakanlığı ve Ticaret Bakanlığı · 2015-03-28</t>
        </is>
      </c>
      <c r="D56" s="15" t="inlineStr">
        <is>
          <t>Çin kaynağı</t>
        </is>
      </c>
      <c r="E56" s="15" t="inlineStr">
        <is>
          <t>countries along the Belt and Road should improve the connectivity of their infrastructure construction plans and technical standard systems, jointly push forward the construction of international trunk passageways, and form an infrastructure network connecting all sub-regions in Asia, and between Asia, Europe and Africa step by step.</t>
        </is>
      </c>
      <c r="F56" s="24" t="n"/>
      <c r="G56" s="24" t="n"/>
      <c r="H56" s="24" t="n"/>
      <c r="I56" s="24" t="n"/>
      <c r="J56" s="24" t="n"/>
    </row>
    <row r="57" ht="23.85" customHeight="1" s="13">
      <c r="A57" s="15" t="inlineStr">
        <is>
          <t>B02-07</t>
        </is>
      </c>
      <c r="B57" s="15" t="inlineStr">
        <is>
          <t>B02</t>
        </is>
      </c>
      <c r="C57" s="15" t="inlineStr">
        <is>
          <t>ÇHC Ulusal Kalkınma ve Reform Komisyonu, Dışişleri Bakanlığı ve Ticaret Bakanlığı · 2015-03-28</t>
        </is>
      </c>
      <c r="D57" s="15" t="inlineStr">
        <is>
          <t>Çin kaynağı</t>
        </is>
      </c>
      <c r="E57" s="15" t="inlineStr">
        <is>
          <t>We should expand and build platforms and mechanisms for comprehensive civil aviation cooperation, and quicken our pace in improving aviation infrastructure.</t>
        </is>
      </c>
      <c r="F57" s="24" t="n"/>
      <c r="G57" s="24" t="n"/>
      <c r="H57" s="24" t="n"/>
      <c r="I57" s="24" t="n"/>
      <c r="J57" s="24" t="n"/>
    </row>
    <row r="58" ht="35.05" customHeight="1" s="13">
      <c r="A58" s="15" t="inlineStr">
        <is>
          <t>B02-09</t>
        </is>
      </c>
      <c r="B58" s="15" t="inlineStr">
        <is>
          <t>B02</t>
        </is>
      </c>
      <c r="C58" s="15" t="inlineStr">
        <is>
          <t>ÇHC Ulusal Kalkınma ve Reform Komisyonu, Dışişleri Bakanlığı ve Ticaret Bakanlığı · 2015-03-28</t>
        </is>
      </c>
      <c r="D58" s="15" t="inlineStr">
        <is>
          <t>Çin kaynağı</t>
        </is>
      </c>
      <c r="E58" s="15" t="inlineStr">
        <is>
          <t>We should enhance cooperation in and expand the scale of tourism; hold tourism promotion weeks and publicity months in each other's countries; jointly create competitive international tourist routes and products with Silk Road features; and make it more convenient to apply for tourist visa in countries along the Belt and Road.</t>
        </is>
      </c>
      <c r="F58" s="24" t="n"/>
      <c r="G58" s="24" t="n"/>
      <c r="H58" s="24" t="n"/>
      <c r="I58" s="24" t="n"/>
      <c r="J58" s="24" t="n"/>
    </row>
    <row r="59" ht="23.85" customHeight="1" s="13">
      <c r="A59" s="15" t="inlineStr">
        <is>
          <t>B02-19</t>
        </is>
      </c>
      <c r="B59" s="15" t="inlineStr">
        <is>
          <t>B02</t>
        </is>
      </c>
      <c r="C59" s="15" t="inlineStr">
        <is>
          <t>ÇHC Ulusal Kalkınma ve Reform Komisyonu, Dışişleri Bakanlığı ve Ticaret Bakanlığı · 2015-03-28</t>
        </is>
      </c>
      <c r="D59" s="15" t="inlineStr">
        <is>
          <t>Çin kaynağı</t>
        </is>
      </c>
      <c r="E59" s="15" t="inlineStr">
        <is>
          <t>Though proposed by China, the Belt and Road Initiative is a common aspiration of all countries along their routes.</t>
        </is>
      </c>
      <c r="F59" s="24" t="n"/>
      <c r="G59" s="24" t="n"/>
      <c r="H59" s="24" t="n"/>
      <c r="I59" s="24" t="n"/>
      <c r="J59" s="24" t="n"/>
    </row>
    <row r="60" ht="23.85" customHeight="1" s="13">
      <c r="A60" s="15" t="inlineStr">
        <is>
          <t>B03-01</t>
        </is>
      </c>
      <c r="B60" s="15" t="inlineStr">
        <is>
          <t>B03</t>
        </is>
      </c>
      <c r="C60" s="15" t="inlineStr">
        <is>
          <t>Çin Kuşak ve Yol portalı · 2016-09-22</t>
        </is>
      </c>
      <c r="D60" s="15" t="inlineStr">
        <is>
          <t>Çin kaynağı</t>
        </is>
      </c>
      <c r="E60" s="15" t="inlineStr">
        <is>
          <t>Çin Ulusal Turizm İdaresi öncülüğünde düzenlenen “Güzel Çin – Deniz İpek Yolu” temalı tanıtım etkinliği Kanada'nın Vancouver kentinde başladı</t>
        </is>
      </c>
      <c r="F60" s="24" t="n"/>
      <c r="G60" s="24" t="n"/>
      <c r="H60" s="24" t="n"/>
      <c r="I60" s="24" t="n"/>
      <c r="J60" s="24" t="n"/>
    </row>
    <row r="61" ht="23.85" customHeight="1" s="13">
      <c r="A61" s="15" t="inlineStr">
        <is>
          <t>B03-07</t>
        </is>
      </c>
      <c r="B61" s="15" t="inlineStr">
        <is>
          <t>B03</t>
        </is>
      </c>
      <c r="C61" s="15" t="inlineStr">
        <is>
          <t>Çin Kuşak ve Yol portalı · 2016-09-22</t>
        </is>
      </c>
      <c r="D61" s="15" t="inlineStr">
        <is>
          <t>Çin kaynağı</t>
        </is>
      </c>
      <c r="E61" s="15" t="inlineStr">
        <is>
          <t>Büro ayrıca yerel büyük tur toptancılarıyla birlikte “Deniz İpek Yolu” rotaları ve özel ürünler için bir tanıtım kampanyası yürüttü</t>
        </is>
      </c>
      <c r="F61" s="24" t="n"/>
      <c r="G61" s="24" t="n"/>
      <c r="H61" s="24" t="n"/>
      <c r="I61" s="24" t="n"/>
      <c r="J61" s="24" t="n"/>
    </row>
    <row r="62" ht="23.85" customHeight="1" s="13">
      <c r="A62" s="15" t="inlineStr">
        <is>
          <t>B04-01</t>
        </is>
      </c>
      <c r="B62" s="15" t="inlineStr">
        <is>
          <t>B04</t>
        </is>
      </c>
      <c r="C62" s="15" t="inlineStr">
        <is>
          <t>ÇHC Kültür Bakanlığı · 2016-12-29</t>
        </is>
      </c>
      <c r="D62" s="15" t="inlineStr">
        <is>
          <t>Çin kaynağı</t>
        </is>
      </c>
      <c r="E62" s="15" t="inlineStr">
        <is>
          <t>İpek Yolu ruhunu sürdürmek, medeniyetlerin karşılıklı öğrenmesini teşvik etmek, yakınlık-samimiyet-fayda-kapsayıcılığı ve halkların gönül bağını gerçekleştirmek, Çin kültürünün “dışa açılmasını” ilerletmek, Çin kültürünün uluslararası etkisini genişletmek</t>
        </is>
      </c>
      <c r="F62" s="24" t="n"/>
      <c r="G62" s="24" t="n"/>
      <c r="H62" s="24" t="n"/>
      <c r="I62" s="24" t="n"/>
      <c r="J62" s="24" t="n"/>
    </row>
    <row r="63" ht="23.85" customHeight="1" s="13">
      <c r="A63" s="15" t="inlineStr">
        <is>
          <t>B04-04</t>
        </is>
      </c>
      <c r="B63" s="15" t="inlineStr">
        <is>
          <t>B04</t>
        </is>
      </c>
      <c r="C63" s="15" t="inlineStr">
        <is>
          <t>ÇHC Kültür Bakanlığı · 2016-12-29</t>
        </is>
      </c>
      <c r="D63" s="15" t="inlineStr">
        <is>
          <t>Çin kaynağı</t>
        </is>
      </c>
      <c r="E63" s="15" t="inlineStr">
        <is>
          <t>Tanınmış kültürel değişim ve işbirliği markaları yaratmak, “Mutlu Bahar Bayramı” markasının güzergâh ülkelerindeki etkisini genişletmeye devam etmek, “İpek Yolu Kültür Yolculuğu”, “İpek Yolu Kültür Elçileri” gibi büyük kültürel değişim marka etkinliklerinin taşıyıcı rolünü tam olarak kullanmak.</t>
        </is>
      </c>
      <c r="F63" s="24" t="n"/>
      <c r="G63" s="24" t="n"/>
      <c r="H63" s="24" t="n"/>
      <c r="I63" s="24" t="n"/>
      <c r="J63" s="24" t="n"/>
    </row>
    <row r="64" ht="23.85" customHeight="1" s="13">
      <c r="A64" s="15" t="inlineStr">
        <is>
          <t>B04-07</t>
        </is>
      </c>
      <c r="B64" s="15" t="inlineStr">
        <is>
          <t>B04</t>
        </is>
      </c>
      <c r="C64" s="15" t="inlineStr">
        <is>
          <t>ÇHC Kültür Bakanlığı · 2016-12-29</t>
        </is>
      </c>
      <c r="D64" s="15" t="inlineStr">
        <is>
          <t>Çin kaynağı</t>
        </is>
      </c>
      <c r="E64" s="15" t="inlineStr">
        <is>
          <t>Öncelikle Myanmar, Malezya, Endonezya, Vietnam, Macaristan, Romanya, Bulgaristan, Kazakistan, Belarus, Sırbistan, Letonya, Türkmenistan, İsrail gibi “Kuşak ve Yol” güzergâhı ülkelerinde Çin kültür merkezleri kurmak.</t>
        </is>
      </c>
      <c r="F64" s="24" t="n"/>
      <c r="G64" s="24" t="n"/>
      <c r="H64" s="24" t="n"/>
      <c r="I64" s="24" t="n"/>
      <c r="J64" s="24" t="n"/>
    </row>
    <row r="65" ht="35.05" customHeight="1" s="13">
      <c r="A65" s="15" t="inlineStr">
        <is>
          <t>B04-13</t>
        </is>
      </c>
      <c r="B65" s="15" t="inlineStr">
        <is>
          <t>B04</t>
        </is>
      </c>
      <c r="C65" s="15" t="inlineStr">
        <is>
          <t>ÇHC Kültür Bakanlığı · 2016-12-29</t>
        </is>
      </c>
      <c r="D65" s="15" t="inlineStr">
        <is>
          <t>Çin kaynağı</t>
        </is>
      </c>
      <c r="E65" s="15" t="inlineStr">
        <is>
          <t>Deniz İpek Yolu'nun Dünya Mirası başvurusunu ve Dünya Kültür Mirası “İpek Yolları: Chang'an-Tianshan Koridoru Yol Ağı”nın genişletme projesini ilerletmek.</t>
        </is>
      </c>
      <c r="F65" s="24" t="n"/>
      <c r="G65" s="24" t="n"/>
      <c r="H65" s="24" t="n"/>
      <c r="I65" s="24" t="n"/>
      <c r="J65" s="24" t="n"/>
    </row>
    <row r="66" ht="23.85" customHeight="1" s="13">
      <c r="A66" s="15" t="inlineStr">
        <is>
          <t>B04-14</t>
        </is>
      </c>
      <c r="B66" s="15" t="inlineStr">
        <is>
          <t>B04</t>
        </is>
      </c>
      <c r="C66" s="15" t="inlineStr">
        <is>
          <t>ÇHC Kültür Bakanlığı · 2016-12-29</t>
        </is>
      </c>
      <c r="D66" s="15" t="inlineStr">
        <is>
          <t>Çin kaynağı</t>
        </is>
      </c>
      <c r="E66" s="15" t="inlineStr">
        <is>
          <t>Yurt içi “İpek Yolu Kültür Endüstrisi Kuşağı”nın inşasını hızlandırmak.</t>
        </is>
      </c>
      <c r="F66" s="24" t="n"/>
      <c r="G66" s="24" t="n"/>
      <c r="H66" s="24" t="n"/>
      <c r="I66" s="24" t="n"/>
      <c r="J66" s="24" t="n"/>
    </row>
    <row r="67" ht="35.05" customHeight="1" s="13">
      <c r="A67" s="15" t="inlineStr">
        <is>
          <t>B05-01</t>
        </is>
      </c>
      <c r="B67" s="15" t="inlineStr">
        <is>
          <t>B05</t>
        </is>
      </c>
      <c r="C67" s="15" t="inlineStr">
        <is>
          <t>T.C. Kültür ve Turizm Bakanlığı · 2017-11-24</t>
        </is>
      </c>
      <c r="D67" s="15" t="inlineStr">
        <is>
          <t>Türk kaynağı</t>
        </is>
      </c>
      <c r="E67" s="15" t="inlineStr">
        <is>
          <t>Kültür ve Turizm Bakanlığı, 2018 yılında Çin Halk Cumhuriyeti’nde kutlanacak olan “Türkiye Turizm Yılı” hazırlıklarını sürdürüyor.</t>
        </is>
      </c>
      <c r="F67" s="24" t="n"/>
      <c r="G67" s="24" t="n"/>
      <c r="H67" s="24" t="n"/>
      <c r="I67" s="24" t="n"/>
      <c r="J67" s="24" t="n"/>
    </row>
    <row r="68" ht="23.85" customHeight="1" s="13">
      <c r="A68" s="15" t="inlineStr">
        <is>
          <t>B06-01</t>
        </is>
      </c>
      <c r="B68" s="15" t="inlineStr">
        <is>
          <t>B06</t>
        </is>
      </c>
      <c r="C68" s="15" t="inlineStr">
        <is>
          <t>ÇHC Kültür ve Turizm Bakanlığı · 2023-05-17</t>
        </is>
      </c>
      <c r="D68" s="15" t="inlineStr">
        <is>
          <t>Çin kaynağı</t>
        </is>
      </c>
      <c r="E68" s="15" t="inlineStr">
        <is>
          <t>Daha iki bin yıldan fazla önce antik İpek Yolu, Çin ile Orta Asya ülkelerinin halklarını sıkıca birbirine bağlamıştı.</t>
        </is>
      </c>
      <c r="F68" s="24" t="n"/>
      <c r="G68" s="24" t="n"/>
      <c r="H68" s="24" t="n"/>
      <c r="I68" s="24" t="n"/>
      <c r="J68" s="24" t="n"/>
    </row>
    <row r="69" ht="23.85" customHeight="1" s="13">
      <c r="A69" s="15" t="inlineStr">
        <is>
          <t>B07-02</t>
        </is>
      </c>
      <c r="B69" s="15" t="inlineStr">
        <is>
          <t>B07</t>
        </is>
      </c>
      <c r="C69" s="15" t="inlineStr">
        <is>
          <t>Çin Halk Cumhuriyeti Dışişleri Bakanlığı · 2023-05-19</t>
        </is>
      </c>
      <c r="D69" s="15" t="inlineStr">
        <is>
          <t>Çin kaynağı</t>
        </is>
      </c>
      <c r="E69" s="15" t="inlineStr">
        <is>
          <t>Over 2,100 years ago, Zhang Qian, a Han Dynasty envoy, made his journey to the West from Chang’an, opening the door to the friendship and exchanges between China and Central Asia.</t>
        </is>
      </c>
      <c r="F69" s="24" t="n"/>
      <c r="G69" s="24" t="n"/>
      <c r="H69" s="24" t="n"/>
      <c r="I69" s="24" t="n"/>
      <c r="J69" s="24" t="n"/>
    </row>
    <row r="70" ht="35.05" customHeight="1" s="13">
      <c r="A70" s="15" t="inlineStr">
        <is>
          <t>B07-09</t>
        </is>
      </c>
      <c r="B70" s="15" t="inlineStr">
        <is>
          <t>B07</t>
        </is>
      </c>
      <c r="C70" s="15" t="inlineStr">
        <is>
          <t>Çin Halk Cumhuriyeti Dışişleri Bakanlığı · 2023-05-19</t>
        </is>
      </c>
      <c r="D70" s="15" t="inlineStr">
        <is>
          <t>Çin kaynağı</t>
        </is>
      </c>
      <c r="E70" s="15" t="inlineStr">
        <is>
          <t>Blessed with unique geographical advantages, Central Asia has the right foundation, condition and capability to become an important connectivity hub of Eurasia</t>
        </is>
      </c>
      <c r="F70" s="24" t="n"/>
      <c r="G70" s="24" t="n"/>
      <c r="H70" s="24" t="n"/>
      <c r="I70" s="24" t="n"/>
      <c r="J70" s="24" t="n"/>
    </row>
    <row r="71" ht="23.85" customHeight="1" s="13">
      <c r="A71" s="15" t="inlineStr">
        <is>
          <t>B07-12</t>
        </is>
      </c>
      <c r="B71" s="15" t="inlineStr">
        <is>
          <t>B07</t>
        </is>
      </c>
      <c r="C71" s="15" t="inlineStr">
        <is>
          <t>Çin Halk Cumhuriyeti Dışişleri Bakanlığı · 2023-05-19</t>
        </is>
      </c>
      <c r="D71" s="15" t="inlineStr">
        <is>
          <t>Çin kaynağı</t>
        </is>
      </c>
      <c r="E71" s="15" t="inlineStr">
        <is>
          <t>China will also step up the development of China-Europe Railway Express assembly centers, encourage capable enterprises to build overseas warehouses in Central Asian countries, and build a comprehensive digital service platform.</t>
        </is>
      </c>
      <c r="F71" s="24" t="n"/>
      <c r="G71" s="24" t="n"/>
      <c r="H71" s="24" t="n"/>
      <c r="I71" s="24" t="n"/>
      <c r="J71" s="24" t="n"/>
    </row>
    <row r="72" ht="23.85" customHeight="1" s="13">
      <c r="A72" s="15" t="inlineStr">
        <is>
          <t>B07-13</t>
        </is>
      </c>
      <c r="B72" s="15" t="inlineStr">
        <is>
          <t>B07</t>
        </is>
      </c>
      <c r="C72" s="15" t="inlineStr">
        <is>
          <t>Çin Halk Cumhuriyeti Dışişleri Bakanlığı · 2023-05-19</t>
        </is>
      </c>
      <c r="D72" s="15" t="inlineStr">
        <is>
          <t>Çin kaynağı</t>
        </is>
      </c>
      <c r="E72" s="15" t="inlineStr">
        <is>
          <t>China invites Central Asian countries to take part in the “Cultural Silk Road” program</t>
        </is>
      </c>
      <c r="F72" s="24" t="n"/>
      <c r="G72" s="24" t="n"/>
      <c r="H72" s="24" t="n"/>
      <c r="I72" s="24" t="n"/>
      <c r="J72" s="24" t="n"/>
    </row>
    <row r="73" ht="23.85" customHeight="1" s="13">
      <c r="A73" s="15" t="inlineStr">
        <is>
          <t>B08-02</t>
        </is>
      </c>
      <c r="B73" s="15" t="inlineStr">
        <is>
          <t>B08</t>
        </is>
      </c>
      <c r="C73" s="15" t="inlineStr">
        <is>
          <t>Shaanxi Eyaleti Kültür ve Turizm Dairesi · 2023-06-05</t>
        </is>
      </c>
      <c r="D73" s="15" t="inlineStr">
        <is>
          <t>Çin kaynağı</t>
        </is>
      </c>
      <c r="E73" s="15" t="inlineStr">
        <is>
          <t>Yerel halkın İpek Yolu'nun kaynağının eşsiz cazibedeki halk geleneklerini ve kültürel zanaatlarını derinden hissetmesini ve Shaanxi penceresinden Çin'in derin kültürel birikimini ve renkli turizm kaynaklarını keşfetmesini sağladı.</t>
        </is>
      </c>
      <c r="F73" s="24" t="n"/>
      <c r="G73" s="24" t="n"/>
      <c r="H73" s="24" t="n"/>
      <c r="I73" s="24" t="n"/>
      <c r="J73" s="24" t="n"/>
    </row>
    <row r="74" ht="23.85" customHeight="1" s="13">
      <c r="A74" s="15" t="inlineStr">
        <is>
          <t>B09-01</t>
        </is>
      </c>
      <c r="B74" s="15" t="inlineStr">
        <is>
          <t>B09</t>
        </is>
      </c>
      <c r="C74" s="15" t="inlineStr">
        <is>
          <t>ÇHC Kültür ve Turizm Bakanlığı sitesi · 2023-09-06</t>
        </is>
      </c>
      <c r="D74" s="15" t="inlineStr">
        <is>
          <t>Çin kaynağı</t>
        </is>
      </c>
      <c r="E74" s="15" t="inlineStr">
        <is>
          <t>Çin, İpek Yolu güzergâhındaki ülkelerle “barış ve işbirliği, açıklık ve kapsayıcılık, karşılıklı öğrenme, karşılıklı yarar ve kazan-kazan” İpek Yolu ruhunu sürdürerek turizm alanında sürekli yenilik yapıyor ve çok yönlü etkileşimli bir değişim-işbirliği düzenini birlikte kuruyor</t>
        </is>
      </c>
      <c r="F74" s="24" t="n"/>
      <c r="G74" s="24" t="n"/>
      <c r="H74" s="24" t="n"/>
      <c r="I74" s="24" t="n"/>
      <c r="J74" s="24" t="n"/>
    </row>
    <row r="75" ht="23.85" customHeight="1" s="13">
      <c r="A75" s="15" t="inlineStr">
        <is>
          <t>B09-02</t>
        </is>
      </c>
      <c r="B75" s="15" t="inlineStr">
        <is>
          <t>B09</t>
        </is>
      </c>
      <c r="C75" s="15" t="inlineStr">
        <is>
          <t>ÇHC Kültür ve Turizm Bakanlığı sitesi · 2023-09-06</t>
        </is>
      </c>
      <c r="D75" s="15" t="inlineStr">
        <is>
          <t>Çin kaynağı</t>
        </is>
      </c>
      <c r="E75" s="15" t="inlineStr">
        <is>
          <t>26 ülkeden 58 kent Porselen Başkenti'nde buluşarak İpek Yolu ruhunu birlikte sürdürdü ve turizm işbirliğini ve kalkınmayı birlikte planladı.</t>
        </is>
      </c>
      <c r="F75" s="24" t="n"/>
      <c r="G75" s="24" t="n"/>
      <c r="H75" s="24" t="n"/>
      <c r="I75" s="24" t="n"/>
      <c r="J75" s="24" t="n"/>
    </row>
    <row r="76" ht="35.05" customHeight="1" s="13">
      <c r="A76" s="15" t="inlineStr">
        <is>
          <t>B09-07</t>
        </is>
      </c>
      <c r="B76" s="15" t="inlineStr">
        <is>
          <t>B09</t>
        </is>
      </c>
      <c r="C76" s="15" t="inlineStr">
        <is>
          <t>ÇHC Kültür ve Turizm Bakanlığı sitesi · 2023-09-06</t>
        </is>
      </c>
      <c r="D76" s="15" t="inlineStr">
        <is>
          <t>Çin kaynağı</t>
        </is>
      </c>
      <c r="E76" s="15" t="inlineStr">
        <is>
          <t>Jiangxi, Jingdezhen'in İpek Yolu Turizm Kentleri Birliği'nin ilk başkan kenti olarak sorumluluk ve yükümlülüklerini daha da pekiştirecek</t>
        </is>
      </c>
      <c r="F76" s="24" t="n"/>
      <c r="G76" s="24" t="n"/>
      <c r="H76" s="24" t="n"/>
      <c r="I76" s="24" t="n"/>
      <c r="J76" s="24" t="n"/>
    </row>
    <row r="77" ht="35.05" customHeight="1" s="13">
      <c r="A77" s="15" t="inlineStr">
        <is>
          <t>B09-13</t>
        </is>
      </c>
      <c r="B77" s="15" t="inlineStr">
        <is>
          <t>B09</t>
        </is>
      </c>
      <c r="C77" s="15" t="inlineStr">
        <is>
          <t>ÇHC Kültür ve Turizm Bakanlığı sitesi · 2023-09-06</t>
        </is>
      </c>
      <c r="D77" s="15" t="inlineStr">
        <is>
          <t>Çin kaynağı</t>
        </is>
      </c>
      <c r="E77" s="15" t="inlineStr">
        <is>
          <t>Jingdezhen, İpek Yolu'nun başlıca başlangıç kenti ve önemli mal kaynağıdır; Çin'in seçkin geleneksel kültürünü aktaran ve dünya medeniyetlerinin değişimini ve karşılıklı öğrenmesini teşvik eden önemli bir köprüdür.</t>
        </is>
      </c>
      <c r="F77" s="24" t="n"/>
      <c r="G77" s="24" t="n"/>
      <c r="H77" s="24" t="n"/>
      <c r="I77" s="24" t="n"/>
      <c r="J77" s="24" t="n"/>
    </row>
    <row r="78" ht="35.05" customHeight="1" s="13">
      <c r="A78" s="15" t="inlineStr">
        <is>
          <t>B10-01</t>
        </is>
      </c>
      <c r="B78" s="15" t="inlineStr">
        <is>
          <t>B10</t>
        </is>
      </c>
      <c r="C78" s="15" t="inlineStr">
        <is>
          <t>T.C. Ticaret Bakanlığı · 2023-09-16</t>
        </is>
      </c>
      <c r="D78" s="15" t="inlineStr">
        <is>
          <t>Türk kaynağı</t>
        </is>
      </c>
      <c r="E78" s="15" t="inlineStr">
        <is>
          <t>Bolat, ticarette de Çin'den başlayan İpek Yolu'nun Türkiye üzerinden Avrupa'ya ulaşmasında Türk Cumhuriyetlerinin önemli bir koridor olduğunu kaydederek, "Buna Orta Koridor diyoruz.</t>
        </is>
      </c>
      <c r="F78" s="24" t="n"/>
      <c r="G78" s="24" t="n"/>
      <c r="H78" s="24" t="n"/>
      <c r="I78" s="24" t="n"/>
      <c r="J78" s="24" t="n"/>
    </row>
    <row r="79" ht="35.05" customHeight="1" s="13">
      <c r="A79" s="15" t="inlineStr">
        <is>
          <t>B11-03</t>
        </is>
      </c>
      <c r="B79" s="15" t="inlineStr">
        <is>
          <t>B11</t>
        </is>
      </c>
      <c r="C79" s="15" t="inlineStr">
        <is>
          <t>Çin Halk Cumhuriyeti Devlet Konseyi Enformasyon Ofisi · 2023-10-10</t>
        </is>
      </c>
      <c r="D79" s="15" t="inlineStr">
        <is>
          <t>Çin kaynağı</t>
        </is>
      </c>
      <c r="E79" s="15" t="inlineStr">
        <is>
          <t>In the 1980s, the United Nations and some countries began to envisage the Eurasian Land Bridge, the Silk Road Initiative, and other plans, reflecting a common wish to engage in communication and cooperation.</t>
        </is>
      </c>
      <c r="F79" s="24" t="n"/>
      <c r="G79" s="24" t="n"/>
      <c r="H79" s="24" t="n"/>
      <c r="I79" s="24" t="n"/>
      <c r="J79" s="24" t="n"/>
    </row>
    <row r="80" ht="23.85" customHeight="1" s="13">
      <c r="A80" s="15" t="inlineStr">
        <is>
          <t>B11-06</t>
        </is>
      </c>
      <c r="B80" s="15" t="inlineStr">
        <is>
          <t>B11</t>
        </is>
      </c>
      <c r="C80" s="15" t="inlineStr">
        <is>
          <t>Çin Halk Cumhuriyeti Devlet Konseyi Enformasyon Ofisi · 2023-10-10</t>
        </is>
      </c>
      <c r="D80" s="15" t="inlineStr">
        <is>
          <t>Çin kaynağı</t>
        </is>
      </c>
      <c r="E80" s="15" t="inlineStr">
        <is>
          <t>The Silk Road spirit is consistent with the ideal of “all states joining together in harmony and peace” long upheld by the Chinese nation</t>
        </is>
      </c>
      <c r="F80" s="24" t="n"/>
      <c r="G80" s="24" t="n"/>
      <c r="H80" s="24" t="n"/>
      <c r="I80" s="24" t="n"/>
      <c r="J80" s="24" t="n"/>
    </row>
    <row r="81" ht="23.85" customHeight="1" s="13">
      <c r="A81" s="15" t="inlineStr">
        <is>
          <t>B11-11</t>
        </is>
      </c>
      <c r="B81" s="15" t="inlineStr">
        <is>
          <t>B11</t>
        </is>
      </c>
      <c r="C81" s="15" t="inlineStr">
        <is>
          <t>Çin Halk Cumhuriyeti Devlet Konseyi Enformasyon Ofisi · 2023-10-10</t>
        </is>
      </c>
      <c r="D81" s="15" t="inlineStr">
        <is>
          <t>Çin kaynağı</t>
        </is>
      </c>
      <c r="E81" s="15" t="inlineStr">
        <is>
          <t>China has signed bilateral air transport agreements with 104 BRI partner countries and opened direct flights with 57 partner countries to facilitate cross-border transport.</t>
        </is>
      </c>
      <c r="F81" s="24" t="n"/>
      <c r="G81" s="24" t="n"/>
      <c r="H81" s="24" t="n"/>
      <c r="I81" s="24" t="n"/>
      <c r="J81" s="24" t="n"/>
    </row>
    <row r="82" ht="23.85" customHeight="1" s="13">
      <c r="A82" s="15" t="inlineStr">
        <is>
          <t>B11-14</t>
        </is>
      </c>
      <c r="B82" s="15" t="inlineStr">
        <is>
          <t>B11</t>
        </is>
      </c>
      <c r="C82" s="15" t="inlineStr">
        <is>
          <t>Çin Halk Cumhuriyeti Devlet Konseyi Enformasyon Ofisi · 2023-10-10</t>
        </is>
      </c>
      <c r="D82" s="15" t="inlineStr">
        <is>
          <t>Çin kaynağı</t>
        </is>
      </c>
      <c r="E82" s="15" t="inlineStr">
        <is>
          <t>The participating countries have passed on and carried forward the spirit of friendly cooperation of the ancient Silk Road, cooperated on exchanges in culture, tourism, education, think tank and the media</t>
        </is>
      </c>
      <c r="F82" s="24" t="n"/>
      <c r="G82" s="24" t="n"/>
      <c r="H82" s="24" t="n"/>
      <c r="I82" s="24" t="n"/>
      <c r="J82" s="24" t="n"/>
    </row>
    <row r="83" ht="35.05" customHeight="1" s="13">
      <c r="A83" s="15" t="inlineStr">
        <is>
          <t>B11-23</t>
        </is>
      </c>
      <c r="B83" s="15" t="inlineStr">
        <is>
          <t>B11</t>
        </is>
      </c>
      <c r="C83" s="15" t="inlineStr">
        <is>
          <t>Çin Halk Cumhuriyeti Devlet Konseyi Enformasyon Ofisi · 2023-10-10</t>
        </is>
      </c>
      <c r="D83" s="15" t="inlineStr">
        <is>
          <t>Çin kaynağı</t>
        </is>
      </c>
      <c r="E83" s="15" t="inlineStr">
        <is>
          <t>China, Kyrgyzstan, Iran and other Central and West Asian countries jointly launched the Alliance for Cultural Heritage in Asia – the first international cooperation mechanism regarding Asian cultural heritage – to protect cultural heritage, the tangible carriers of civilization.</t>
        </is>
      </c>
      <c r="F83" s="24" t="n"/>
      <c r="G83" s="24" t="n"/>
      <c r="H83" s="24" t="n"/>
      <c r="I83" s="24" t="n"/>
      <c r="J83" s="24" t="n"/>
    </row>
    <row r="84" ht="23.85" customHeight="1" s="13">
      <c r="A84" s="15" t="inlineStr">
        <is>
          <t>B11-24</t>
        </is>
      </c>
      <c r="B84" s="15" t="inlineStr">
        <is>
          <t>B11</t>
        </is>
      </c>
      <c r="C84" s="15" t="inlineStr">
        <is>
          <t>Çin Halk Cumhuriyeti Devlet Konseyi Enformasyon Ofisi · 2023-10-10</t>
        </is>
      </c>
      <c r="D84" s="15" t="inlineStr">
        <is>
          <t>Çin kaynağı</t>
        </is>
      </c>
      <c r="E84" s="15" t="inlineStr">
        <is>
          <t>Examples include the Silk Road (Dunhuang) International Cultural Expo, the Belt and Road/Great Wall International Folk Culture and Arts Festival, the Silk Road International Arts Festival, the Maritime Silk Road International Arts Festival, the Belt and Road Youth Story, and the Tea Road Cultural Tourism Expo.</t>
        </is>
      </c>
      <c r="F84" s="24" t="n"/>
      <c r="G84" s="24" t="n"/>
      <c r="H84" s="24" t="n"/>
      <c r="I84" s="24" t="n"/>
      <c r="J84" s="24" t="n"/>
    </row>
    <row r="85" ht="46.25" customHeight="1" s="13">
      <c r="A85" s="15" t="inlineStr">
        <is>
          <t>B12-02</t>
        </is>
      </c>
      <c r="B85" s="15" t="inlineStr">
        <is>
          <t>B12</t>
        </is>
      </c>
      <c r="C85" s="15" t="inlineStr">
        <is>
          <t>Shaanxi Eyaleti Kültür ve Turizm Dairesi · 2024-10-28</t>
        </is>
      </c>
      <c r="D85" s="15" t="inlineStr">
        <is>
          <t>Çin kaynağı</t>
        </is>
      </c>
      <c r="E85" s="15" t="inlineStr">
        <is>
          <t>Shaanxi, Çin medeniyetinin önemli bir doğuş yeri ve antik İpek Yolu'nun başlangıç noktası olarak, binlerce yıllık tarihî değişimler içinde Doğu ile Batı'nın farklı medeniyetlerinin karşılaşmasına ve kaynaşmasına tanıklık etmiştir.</t>
        </is>
      </c>
      <c r="F85" s="24" t="n"/>
      <c r="G85" s="24" t="n"/>
      <c r="H85" s="24" t="n"/>
      <c r="I85" s="24" t="n"/>
      <c r="J85" s="24" t="n"/>
    </row>
    <row r="86" ht="23.85" customHeight="1" s="13">
      <c r="A86" s="15" t="inlineStr">
        <is>
          <t>B13-02</t>
        </is>
      </c>
      <c r="B86" s="15" t="inlineStr">
        <is>
          <t>B13</t>
        </is>
      </c>
      <c r="C86" s="15" t="inlineStr">
        <is>
          <t>Gansu Eyaleti Kültür ve Turizm Dairesi · 2025-04-08</t>
        </is>
      </c>
      <c r="D86" s="15" t="inlineStr">
        <is>
          <t>Çin kaynağı</t>
        </is>
      </c>
      <c r="E86" s="15" t="inlineStr">
        <is>
          <t>Bu süreçte Gansu kültür-turizm kaynaklarının tanıtımı ve seçkin turizm ürünlerinin pazarlanması, konuk açılış konuşmaları, üst düzey diyaloglar, seyahat acentesi satın alma görüşmeleri, sözleşme ve ödül törenleri, yabancı sosyal medya fenomenlerinin görevlendirilmesi, İpek Yolu seçkin rotalarında inceleme gezileri gibi etkinlikler de düzenlenecek</t>
        </is>
      </c>
      <c r="F86" s="24" t="n"/>
      <c r="G86" s="24" t="n"/>
      <c r="H86" s="24" t="n"/>
      <c r="I86" s="24" t="n"/>
      <c r="J86" s="24" t="n"/>
    </row>
    <row r="87" ht="35.05" customHeight="1" s="13">
      <c r="A87" s="15" t="inlineStr">
        <is>
          <t>B14-02</t>
        </is>
      </c>
      <c r="B87" s="15" t="inlineStr">
        <is>
          <t>B14</t>
        </is>
      </c>
      <c r="C87" s="15" t="inlineStr">
        <is>
          <t>T.C. Cumhurbaşkanlığı İletişim Başkanlığı · 2025-06-27</t>
        </is>
      </c>
      <c r="D87" s="15" t="inlineStr">
        <is>
          <t>Türk kaynağı</t>
        </is>
      </c>
      <c r="E87" s="15" t="inlineStr">
        <is>
          <t>Sanayiden ihracata, turizmden lojistik hizmetlerine kadar birçok sektör bu yatırımlardan olumlu etkilendi.</t>
        </is>
      </c>
      <c r="F87" s="24" t="n"/>
      <c r="G87" s="24" t="n"/>
      <c r="H87" s="24" t="n"/>
      <c r="I87" s="24" t="n"/>
      <c r="J87" s="24" t="n"/>
    </row>
    <row r="88" ht="23.85" customHeight="1" s="13">
      <c r="A88" s="15" t="inlineStr">
        <is>
          <t>B14-06</t>
        </is>
      </c>
      <c r="B88" s="15" t="inlineStr">
        <is>
          <t>B14</t>
        </is>
      </c>
      <c r="C88" s="15" t="inlineStr">
        <is>
          <t>T.C. Cumhurbaşkanlığı İletişim Başkanlığı · 2025-06-27</t>
        </is>
      </c>
      <c r="D88" s="15" t="inlineStr">
        <is>
          <t>Türk kaynağı</t>
        </is>
      </c>
      <c r="E88" s="15" t="inlineStr">
        <is>
          <t>Bu muazzam projenin daha da geliştirilmesini, gerek ikili, gerek Türk Devletleri Teşkilatı gibi platformlarda ele almaya devam ediyoruz.</t>
        </is>
      </c>
      <c r="F88" s="24" t="n"/>
      <c r="G88" s="24" t="n"/>
      <c r="H88" s="24" t="n"/>
      <c r="I88" s="24" t="n"/>
      <c r="J88" s="24" t="n"/>
    </row>
    <row r="89" ht="23.85" customHeight="1" s="13">
      <c r="A89" s="15" t="inlineStr">
        <is>
          <t>B15-03</t>
        </is>
      </c>
      <c r="B89" s="15" t="inlineStr">
        <is>
          <t>B15</t>
        </is>
      </c>
      <c r="C89" s="15" t="inlineStr">
        <is>
          <t>ÇHC Kültür ve Turizm Bakanlığı · 2026-04-20</t>
        </is>
      </c>
      <c r="D89" s="15" t="inlineStr">
        <is>
          <t>Çin kaynağı</t>
        </is>
      </c>
      <c r="E89" s="15" t="inlineStr">
        <is>
          <t>Shaanxi'deki 22 roadshow satış noktasıyla birlikte eş zamanlı olarak turistik yer bileti indirimleri, otel ve pansiyon indirimleri, kültür-turizm ürünlerinde özel fiyatlar gibi kampanyalar başlattı</t>
        </is>
      </c>
      <c r="F89" s="24" t="n"/>
      <c r="G89" s="24" t="n"/>
      <c r="H89" s="24" t="n"/>
      <c r="I89" s="24" t="n"/>
      <c r="J89" s="24" t="n"/>
    </row>
    <row r="90" ht="35.05" customHeight="1" s="13">
      <c r="A90" s="15" t="inlineStr">
        <is>
          <t>B16-01</t>
        </is>
      </c>
      <c r="B90" s="15" t="inlineStr">
        <is>
          <t>B16</t>
        </is>
      </c>
      <c r="C90" s="15" t="inlineStr">
        <is>
          <t>T.C. Cumhurbaşkanlığı İletişim Başkanlığı · 2026-05-04</t>
        </is>
      </c>
      <c r="D90" s="15" t="inlineStr">
        <is>
          <t>Türk kaynağı</t>
        </is>
      </c>
      <c r="E90" s="15" t="inlineStr">
        <is>
          <t>The group participating in the East-West Friendship and Silk Road Rally, which set out from Germany on April 27 with the contributions of the Ministry of Foreign Affairs’ Directorate for EU Affairs, the Ministry of Culture and Tourism’s Türkiye Tourism Promotion and Development Agency</t>
        </is>
      </c>
      <c r="F90" s="24" t="n"/>
      <c r="G90" s="24" t="n"/>
      <c r="H90" s="24" t="n"/>
      <c r="I90" s="24" t="n"/>
      <c r="J90" s="24" t="n"/>
    </row>
    <row r="91" ht="23.85" customHeight="1" s="13">
      <c r="A91" s="15" t="inlineStr">
        <is>
          <t>B17-02</t>
        </is>
      </c>
      <c r="B91" s="15" t="inlineStr">
        <is>
          <t>B17</t>
        </is>
      </c>
      <c r="C91" s="15" t="inlineStr">
        <is>
          <t>Denizli İl Kültür ve Turizm Müdürlüğü · tarihsiz (</t>
        </is>
      </c>
      <c r="D91" s="15" t="inlineStr">
        <is>
          <t>Türk kaynağı</t>
        </is>
      </c>
      <c r="E91" s="15" t="inlineStr">
        <is>
          <t>Bu yol, Orta Asya'yı Avrupa'ya bağlayan bir ticaret yolu olmasının ötesinde, 2000 yıldır bölgede yaşayan kültürlerin, dinlerin, ırkların da izlerini taşımaktadır.</t>
        </is>
      </c>
      <c r="F91" s="24" t="n"/>
      <c r="G91" s="24" t="n"/>
      <c r="H91" s="24" t="n"/>
      <c r="I91" s="24" t="n"/>
      <c r="J91" s="24" t="n"/>
    </row>
    <row r="92" ht="23.85" customHeight="1" s="13">
      <c r="A92" s="15" t="inlineStr">
        <is>
          <t>B18-04</t>
        </is>
      </c>
      <c r="B92" s="15" t="inlineStr">
        <is>
          <t>B18</t>
        </is>
      </c>
      <c r="C92" s="15" t="inlineStr">
        <is>
          <t>GoTürkiye / Türkiye Turizm Tanıtım ve Geliştirme Ajansı · tarihsiz (</t>
        </is>
      </c>
      <c r="D92" s="15" t="inlineStr">
        <is>
          <t>Türk kaynağı</t>
        </is>
      </c>
      <c r="E92" s="15" t="inlineStr">
        <is>
          <t>Located at the crossroads of historic caravan routes between Ankara and Bolu, the district of Nallıhan served as an important stop along the Silk Road for centuries.</t>
        </is>
      </c>
      <c r="F92" s="24" t="n"/>
      <c r="G92" s="24" t="n"/>
      <c r="H92" s="24" t="n"/>
      <c r="I92" s="24" t="n"/>
      <c r="J92" s="24" t="n"/>
    </row>
    <row r="93" ht="23.85" customHeight="1" s="13">
      <c r="A93" s="15" t="inlineStr">
        <is>
          <t>B18-08</t>
        </is>
      </c>
      <c r="B93" s="15" t="inlineStr">
        <is>
          <t>B18</t>
        </is>
      </c>
      <c r="C93" s="15" t="inlineStr">
        <is>
          <t>GoTürkiye / Türkiye Turizm Tanıtım ve Geliştirme Ajansı · tarihsiz (</t>
        </is>
      </c>
      <c r="D93" s="15" t="inlineStr">
        <is>
          <t>Türk kaynağı</t>
        </is>
      </c>
      <c r="E93" s="15" t="inlineStr">
        <is>
          <t>Located along the old Istanbul–Ankara road, it once served as an important Silk Road stop.</t>
        </is>
      </c>
      <c r="F93" s="24" t="n"/>
      <c r="G93" s="24" t="n"/>
      <c r="H93" s="24" t="n"/>
      <c r="I93" s="24" t="n"/>
      <c r="J93" s="24" t="n"/>
    </row>
    <row r="94" ht="35.05" customHeight="1" s="13">
      <c r="A94" s="15" t="inlineStr">
        <is>
          <t>B19-02</t>
        </is>
      </c>
      <c r="B94" s="15" t="inlineStr">
        <is>
          <t>B19</t>
        </is>
      </c>
      <c r="C94" s="15" t="inlineStr">
        <is>
          <t>GoTürkiye / Türkiye Turizm Tanıtım ve Geliştirme Ajansı · tarihsiz (</t>
        </is>
      </c>
      <c r="D94" s="15" t="inlineStr">
        <is>
          <t>Türk kaynağı</t>
        </is>
      </c>
      <c r="E94" s="15" t="inlineStr">
        <is>
          <t>This visa-free policy does not apply to travel for employment, study, business activities, long-term residence, or any other purposes beyond tourism or transit.</t>
        </is>
      </c>
      <c r="F94" s="24" t="n"/>
      <c r="G94" s="24" t="n"/>
      <c r="H94" s="24" t="n"/>
      <c r="I94" s="24" t="n"/>
      <c r="J94" s="24" t="n"/>
    </row>
    <row r="95" ht="35.05" customHeight="1" s="13">
      <c r="A95" s="15" t="inlineStr">
        <is>
          <t>B20-02</t>
        </is>
      </c>
      <c r="B95" s="15" t="inlineStr">
        <is>
          <t>B20</t>
        </is>
      </c>
      <c r="C95" s="15" t="inlineStr">
        <is>
          <t>T.C. Kültür ve Turizm Bakanlığı, Kültür Varlıkları ve Müzeler Genel Müdürlüğü · tarihsiz (</t>
        </is>
      </c>
      <c r="D95" s="15" t="inlineStr">
        <is>
          <t>Türk kaynağı</t>
        </is>
      </c>
      <c r="E95" s="15" t="inlineStr">
        <is>
          <t>Ülkemizin sınırları dışında Asya’ya da uzanan bu güzergah üzerinde yer alan kervansaray ve hanlar Denizli-Doğubayazıt kervan yolu örneklenerek UNESCO Dünya Miras Listesi’ne aday gösterilmektedir.</t>
        </is>
      </c>
      <c r="F95" s="24" t="n"/>
      <c r="G95" s="24" t="n"/>
      <c r="H95" s="24" t="n"/>
      <c r="I95" s="24" t="n"/>
      <c r="J95" s="24" t="n"/>
    </row>
    <row r="96" ht="35.05" customHeight="1" s="13">
      <c r="A96" s="15" t="inlineStr">
        <is>
          <t>B21-02</t>
        </is>
      </c>
      <c r="B96" s="15" t="inlineStr">
        <is>
          <t>B21</t>
        </is>
      </c>
      <c r="C96" s="15" t="inlineStr">
        <is>
          <t>T.C. Kültür ve Turizm Bakanlığı, Yatırım ve İşletmeler Genel Müdürlüğü · tarihsiz (</t>
        </is>
      </c>
      <c r="D96" s="15" t="inlineStr">
        <is>
          <t>Türk kaynağı</t>
        </is>
      </c>
      <c r="E96" s="15" t="inlineStr">
        <is>
          <t>Orta Çağ’da, İpek Yolları Çin’den başlayıp Orta Asya’da birden fazla güzergahı izleyerek ve Anadolu’yu geçerek Trakya üzerinden Avrupa’ya uzanmıştır.</t>
        </is>
      </c>
      <c r="F96" s="24" t="n"/>
      <c r="G96" s="24" t="n"/>
      <c r="H96" s="24" t="n"/>
      <c r="I96" s="24" t="n"/>
      <c r="J96" s="24" t="n"/>
    </row>
    <row r="97" ht="23.85" customHeight="1" s="13">
      <c r="A97" s="15" t="inlineStr">
        <is>
          <t>B22-01</t>
        </is>
      </c>
      <c r="B97" s="15" t="inlineStr">
        <is>
          <t>B22</t>
        </is>
      </c>
      <c r="C97" s="15" t="inlineStr">
        <is>
          <t>T.C. Kültür ve Turizm Bakanlığı · tarihsiz (</t>
        </is>
      </c>
      <c r="D97" s="15" t="inlineStr">
        <is>
          <t>Türk kaynağı</t>
        </is>
      </c>
      <c r="E97" s="15" t="inlineStr">
        <is>
          <t>Transportation of silk and spice of east via caravans, is formed the commercial roads reaching to Europe from China.</t>
        </is>
      </c>
      <c r="F97" s="24" t="n"/>
      <c r="G97" s="24" t="n"/>
      <c r="H97" s="24" t="n"/>
      <c r="I97" s="24" t="n"/>
      <c r="J97" s="24" t="n"/>
    </row>
    <row r="98" ht="35.05" customHeight="1" s="13">
      <c r="A98" s="15" t="inlineStr">
        <is>
          <t>B22-02</t>
        </is>
      </c>
      <c r="B98" s="15" t="inlineStr">
        <is>
          <t>B22</t>
        </is>
      </c>
      <c r="C98" s="15" t="inlineStr">
        <is>
          <t>T.C. Kültür ve Turizm Bakanlığı · tarihsiz (</t>
        </is>
      </c>
      <c r="D98" s="15" t="inlineStr">
        <is>
          <t>Türk kaynağı</t>
        </is>
      </c>
      <c r="E98" s="15" t="inlineStr">
        <is>
          <t>In Medieval Age, commercial caravans, had started to their voyages from today's Chinese Xian city</t>
        </is>
      </c>
      <c r="F98" s="24" t="n"/>
      <c r="G98" s="24" t="n"/>
      <c r="H98" s="24" t="n"/>
      <c r="I98" s="24" t="n"/>
      <c r="J98" s="24" t="n"/>
    </row>
    <row r="99" ht="35.05" customHeight="1" s="13">
      <c r="A99" s="15" t="inlineStr">
        <is>
          <t>B23-03</t>
        </is>
      </c>
      <c r="B99" s="15" t="inlineStr">
        <is>
          <t>B23</t>
        </is>
      </c>
      <c r="C99" s="15" t="inlineStr">
        <is>
          <t>Kayseri İl Kültür ve Turizm Müdürlüğü · tarihsiz (</t>
        </is>
      </c>
      <c r="D99" s="15" t="inlineStr">
        <is>
          <t>Türk kaynağı</t>
        </is>
      </c>
      <c r="E99" s="15" t="inlineStr">
        <is>
          <t>Kayseri kent merkezinde konaklayarak iki gün içerisinde üç kervansarayı da gezebilirsiniz.</t>
        </is>
      </c>
      <c r="F99" s="24" t="n"/>
      <c r="G99" s="24" t="n"/>
      <c r="H99" s="24" t="n"/>
      <c r="I99" s="24" t="n"/>
      <c r="J99" s="24" t="n"/>
    </row>
    <row r="100" ht="23.85" customHeight="1" s="13">
      <c r="A100" s="15" t="inlineStr">
        <is>
          <t>B24-01</t>
        </is>
      </c>
      <c r="B100" s="15" t="inlineStr">
        <is>
          <t>B24</t>
        </is>
      </c>
      <c r="C100" s="15" t="inlineStr">
        <is>
          <t>T.C. Dışişleri Bakanlığı · tarihsiz (</t>
        </is>
      </c>
      <c r="D100" s="15" t="inlineStr">
        <is>
          <t>Türk kaynağı</t>
        </is>
      </c>
      <c r="E100" s="15" t="inlineStr">
        <is>
          <t>The Trans-Caspian East-West-Middle Corridor (Middle Corridor) is one of the most important components of the project to revitalize the ancient Silk Road.</t>
        </is>
      </c>
      <c r="F100" s="24" t="n"/>
      <c r="G100" s="24" t="n"/>
      <c r="H100" s="24" t="n"/>
      <c r="I100" s="24" t="n"/>
      <c r="J100" s="24" t="n"/>
    </row>
    <row r="101" ht="46.25" customHeight="1" s="13">
      <c r="A101" s="15" t="inlineStr">
        <is>
          <t>B24-02</t>
        </is>
      </c>
      <c r="B101" s="15" t="inlineStr">
        <is>
          <t>B24</t>
        </is>
      </c>
      <c r="C101" s="15" t="inlineStr">
        <is>
          <t>T.C. Dışişleri Bakanlığı · tarihsiz (</t>
        </is>
      </c>
      <c r="D101" s="15" t="inlineStr">
        <is>
          <t>Türk kaynağı</t>
        </is>
      </c>
      <c r="E101" s="15" t="inlineStr">
        <is>
          <t>It starts from China and extends to Central Asia via rail and road connections, then to Türkiye through Kazakhstan/Turkmenistan route, using the Trans-Caspian Sea route, followed by Azerbaijan and Georgia, and then to Europe via Türkiye.</t>
        </is>
      </c>
      <c r="F101" s="24" t="n"/>
      <c r="G101" s="24" t="n"/>
      <c r="H101" s="24" t="n"/>
      <c r="I101" s="24" t="n"/>
      <c r="J101" s="24" t="n"/>
    </row>
    <row r="102" ht="35.05" customHeight="1" s="13">
      <c r="A102" s="15" t="inlineStr">
        <is>
          <t>B24-05</t>
        </is>
      </c>
      <c r="B102" s="15" t="inlineStr">
        <is>
          <t>B24</t>
        </is>
      </c>
      <c r="C102" s="15" t="inlineStr">
        <is>
          <t>T.C. Dışişleri Bakanlığı · tarihsiz (</t>
        </is>
      </c>
      <c r="D102" s="15" t="inlineStr">
        <is>
          <t>Türk kaynağı</t>
        </is>
      </c>
      <c r="E102" s="15" t="inlineStr">
        <is>
          <t>The “Caravansarai Project” for inter-customs cooperation in the context of the “Middle Corridor” connecting Türkiye to China via Central Asia</t>
        </is>
      </c>
      <c r="F102" s="24" t="n"/>
      <c r="G102" s="24" t="n"/>
      <c r="H102" s="24" t="n"/>
      <c r="I102" s="24" t="n"/>
      <c r="J102" s="24" t="n"/>
    </row>
    <row r="103" ht="35.05" customHeight="1" s="13">
      <c r="A103" s="15" t="inlineStr">
        <is>
          <t>B24-09</t>
        </is>
      </c>
      <c r="B103" s="15" t="inlineStr">
        <is>
          <t>B24</t>
        </is>
      </c>
      <c r="C103" s="15" t="inlineStr">
        <is>
          <t>T.C. Dışişleri Bakanlığı · tarihsiz (</t>
        </is>
      </c>
      <c r="D103" s="15" t="inlineStr">
        <is>
          <t>Türk kaynağı</t>
        </is>
      </c>
      <c r="E103" s="15" t="inlineStr">
        <is>
          <t>Under the umbrella of the Organization of Turkic States, the “Agreement on International Combined Freight Transport” between the member countries was signed in Samarkand on 11 November 2022.</t>
        </is>
      </c>
      <c r="F103" s="24" t="n"/>
      <c r="G103" s="24" t="n"/>
      <c r="H103" s="24" t="n"/>
      <c r="I103" s="24" t="n"/>
      <c r="J103" s="24" t="n"/>
    </row>
    <row r="104" ht="23.85" customHeight="1" s="13"/>
    <row r="105" ht="23.85" customHeight="1" s="13"/>
    <row r="106" ht="23.85" customHeight="1" s="13"/>
    <row r="107" ht="23.85" customHeight="1" s="13"/>
    <row r="108" ht="35.05" customHeight="1" s="13"/>
    <row r="109" ht="23.85" customHeight="1" s="13"/>
    <row r="110" ht="23.85" customHeight="1" s="13"/>
    <row r="111" ht="23.85" customHeight="1" s="13"/>
    <row r="112" ht="23.85" customHeight="1" s="13"/>
    <row r="113" ht="35.05" customHeight="1" s="13"/>
    <row r="114" ht="23.85" customHeight="1" s="13"/>
    <row r="115" ht="35.05" customHeight="1" s="13"/>
    <row r="116" ht="35.05" customHeight="1" s="13"/>
    <row r="117" ht="35.05" customHeight="1" s="13"/>
    <row r="118" ht="23.85" customHeight="1" s="13"/>
    <row r="119" ht="35.05" customHeight="1" s="13"/>
    <row r="120" ht="23.85" customHeight="1" s="13"/>
    <row r="121" ht="23.85" customHeight="1" s="13"/>
    <row r="122" ht="35.05" customHeight="1" s="13"/>
    <row r="123" ht="35.05" customHeight="1" s="13"/>
    <row r="124" ht="23.85" customHeight="1" s="13"/>
    <row r="125" ht="23.85" customHeight="1" s="13"/>
    <row r="126" ht="23.85" customHeight="1" s="13"/>
    <row r="127" ht="23.85" customHeight="1" s="13"/>
    <row r="128" ht="47.75" customHeight="1" s="13"/>
    <row r="129" ht="35.05" customHeight="1" s="13"/>
    <row r="130" ht="35.05" customHeight="1" s="13"/>
    <row r="131" ht="46.25" customHeight="1" s="13"/>
    <row r="132" ht="35.05" customHeight="1" s="13"/>
    <row r="133" ht="35.05" customHeight="1" s="13"/>
    <row r="134" ht="35.05" customHeight="1" s="13"/>
    <row r="135" ht="46.25" customHeight="1" s="13"/>
    <row r="136" ht="35.05" customHeight="1" s="13"/>
    <row r="137" ht="23.85" customHeight="1" s="13"/>
    <row r="138" ht="35.05" customHeight="1" s="13"/>
    <row r="139" ht="35.05" customHeight="1" s="13"/>
    <row r="140" ht="23.85" customHeight="1" s="13"/>
    <row r="141" ht="35.05" customHeight="1" s="13"/>
    <row r="142" ht="23.85" customHeight="1" s="13"/>
    <row r="143" ht="35.05" customHeight="1" s="13"/>
    <row r="144" ht="23.85" customHeight="1" s="13"/>
    <row r="145" ht="23.85" customHeight="1" s="13"/>
    <row r="146" ht="23.85" customHeight="1" s="13"/>
    <row r="147" ht="23.85" customHeight="1" s="13"/>
    <row r="148" ht="23.85" customHeight="1" s="13"/>
    <row r="149" ht="35.05" customHeight="1" s="13"/>
    <row r="150" ht="23.85" customHeight="1" s="13"/>
    <row r="151" ht="23.85" customHeight="1" s="13"/>
    <row r="152" ht="35.05" customHeight="1" s="13"/>
    <row r="153" ht="23.85" customHeight="1" s="13"/>
    <row r="154" ht="23.85" customHeight="1" s="13"/>
    <row r="155" ht="23.85" customHeight="1" s="13"/>
    <row r="156" ht="35.05" customHeight="1" s="13"/>
    <row r="157" ht="23.85" customHeight="1" s="13"/>
    <row r="158" ht="35.05" customHeight="1" s="13"/>
    <row r="159" ht="35.05" customHeight="1" s="13"/>
    <row r="160" ht="23.85" customHeight="1" s="13"/>
    <row r="161" ht="23.85" customHeight="1" s="13"/>
    <row r="162" ht="23.85" customHeight="1" s="13"/>
    <row r="163" ht="35.05" customHeight="1" s="13"/>
    <row r="164" ht="35.05" customHeight="1" s="13"/>
    <row r="165" ht="23.85" customHeight="1" s="13"/>
    <row r="166" ht="23.85" customHeight="1" s="13"/>
    <row r="167" ht="23.85" customHeight="1" s="13"/>
    <row r="168" ht="23.85" customHeight="1" s="13"/>
    <row r="169" ht="23.85" customHeight="1" s="13"/>
    <row r="170" ht="57.45" customHeight="1" s="13"/>
    <row r="171" ht="23.85" customHeight="1" s="13"/>
    <row r="172" ht="35.05" customHeight="1" s="13"/>
    <row r="173" ht="35.05" customHeight="1" s="13"/>
    <row r="174" ht="46.25" customHeight="1" s="13"/>
    <row r="175" ht="35.05" customHeight="1" s="13"/>
    <row r="176" ht="23.85" customHeight="1" s="13"/>
    <row r="177" ht="35.05" customHeight="1" s="13"/>
    <row r="178" ht="23.85" customHeight="1" s="13"/>
    <row r="179" ht="35.05" customHeight="1" s="13"/>
    <row r="180" ht="23.85" customHeight="1" s="13"/>
    <row r="181" ht="23.85" customHeight="1" s="13"/>
    <row r="182" ht="23.85" customHeight="1" s="13"/>
    <row r="183" ht="46.25" customHeight="1" s="13"/>
    <row r="184" ht="35.05" customHeight="1" s="13"/>
    <row r="185" ht="23.85" customHeight="1" s="13"/>
    <row r="186" ht="23.85" customHeight="1" s="13"/>
    <row r="187" ht="23.85" customHeight="1" s="13"/>
    <row r="188" ht="35.05" customHeight="1" s="13"/>
    <row r="189" ht="35.05" customHeight="1" s="13"/>
    <row r="190" ht="35.05" customHeight="1" s="13"/>
    <row r="191" ht="23.85" customHeight="1" s="13"/>
    <row r="192" ht="46.25" customHeight="1" s="13"/>
    <row r="193" ht="46.25" customHeight="1" s="13"/>
    <row r="194" ht="46.25" customHeight="1" s="13"/>
    <row r="195" ht="46.25" customHeight="1" s="13"/>
    <row r="196" ht="46.25" customHeight="1" s="13"/>
    <row r="197" ht="57.45" customHeight="1" s="13"/>
    <row r="198" ht="46.25" customHeight="1" s="13"/>
    <row r="199" ht="46.25" customHeight="1" s="13"/>
    <row r="200" ht="46.25" customHeight="1" s="13"/>
    <row r="201" ht="46.25" customHeight="1" s="13"/>
    <row r="202" ht="57.45" customHeight="1" s="13"/>
    <row r="203" ht="46.25" customHeight="1" s="13"/>
    <row r="204" ht="46.25" customHeight="1" s="13"/>
    <row r="205" ht="46.25" customHeight="1" s="13"/>
    <row r="206" ht="46.25" customHeight="1" s="13"/>
    <row r="207" ht="46.25" customHeight="1" s="13"/>
    <row r="208" ht="46.25" customHeight="1" s="13"/>
    <row r="209" ht="46.25" customHeight="1" s="13"/>
    <row r="210" ht="46.25" customHeight="1" s="13"/>
    <row r="211" ht="46.25" customHeight="1" s="13"/>
    <row r="212" ht="23.85" customHeight="1" s="13"/>
    <row r="213" ht="23.85" customHeight="1" s="13"/>
    <row r="214" ht="23.85" customHeight="1" s="13"/>
    <row r="215" ht="23.85" customHeight="1" s="13"/>
    <row r="216" ht="23.85" customHeight="1" s="13"/>
    <row r="217" ht="35.05" customHeight="1" s="13"/>
    <row r="218" ht="23.85" customHeight="1" s="13"/>
    <row r="219" ht="35.05" customHeight="1" s="13"/>
    <row r="220" ht="23.85" customHeight="1" s="13"/>
    <row r="221" ht="23.85" customHeight="1" s="13"/>
    <row r="222" ht="46.25" customHeight="1" s="13"/>
    <row r="223" ht="23.85" customHeight="1" s="13"/>
    <row r="224" ht="23.85" customHeight="1" s="13"/>
    <row r="225" ht="35.05" customHeight="1" s="13"/>
    <row r="226" ht="46.25" customHeight="1" s="13"/>
    <row r="227" ht="23.85" customHeight="1" s="13"/>
    <row r="228" ht="35.05" customHeight="1" s="13"/>
    <row r="229" ht="23.85" customHeight="1" s="13"/>
    <row r="230" ht="23.85" customHeight="1" s="13"/>
    <row r="231" ht="23.85" customHeight="1" s="13"/>
    <row r="232" ht="23.85" customHeight="1" s="13"/>
    <row r="233" ht="46.25" customHeight="1" s="13"/>
    <row r="234" ht="23.85" customHeight="1" s="13"/>
    <row r="235" ht="35.05" customHeight="1" s="13"/>
    <row r="236" ht="23.85" customHeight="1" s="13"/>
    <row r="237" ht="35.05" customHeight="1" s="13"/>
    <row r="238" ht="23.85" customHeight="1" s="13"/>
    <row r="239" ht="35.05" customHeight="1" s="13"/>
    <row r="240" ht="23.85" customHeight="1" s="13"/>
    <row r="241" ht="23.85" customHeight="1" s="13"/>
    <row r="242" ht="35.05" customHeight="1" s="13"/>
    <row r="243" ht="23.85" customHeight="1" s="13"/>
    <row r="244" ht="46.25" customHeight="1" s="13"/>
    <row r="245" ht="23.85" customHeight="1" s="13"/>
    <row r="246" ht="35.05" customHeight="1" s="13"/>
    <row r="247" ht="35.05" customHeight="1" s="13"/>
    <row r="248" ht="23.85" customHeight="1" s="13"/>
    <row r="249" ht="23.85" customHeight="1" s="13"/>
    <row r="250" ht="23.85" customHeight="1" s="13"/>
    <row r="251" ht="46.25" customHeight="1" s="13"/>
    <row r="252" ht="23.85" customHeight="1" s="13"/>
    <row r="253" ht="23.85" customHeight="1" s="13"/>
    <row r="254" ht="23.85" customHeight="1" s="13"/>
    <row r="255" ht="23.85" customHeight="1" s="13"/>
    <row r="256" ht="35.05" customHeight="1" s="13"/>
    <row r="257" ht="35.05" customHeight="1" s="13"/>
    <row r="258" ht="23.85" customHeight="1" s="13"/>
    <row r="259" ht="23.85" customHeight="1" s="13"/>
    <row r="260" ht="23.85" customHeight="1" s="13"/>
    <row r="261" ht="35.05" customHeight="1" s="13"/>
    <row r="262" ht="23.85" customHeight="1" s="13"/>
    <row r="263" ht="46.25" customHeight="1" s="13"/>
    <row r="264" ht="23.85" customHeight="1" s="13"/>
    <row r="265" ht="23.85" customHeight="1" s="13"/>
    <row r="266" ht="23.85" customHeight="1" s="13"/>
    <row r="267" ht="23.85" customHeight="1" s="13"/>
    <row r="268" ht="35.05" customHeight="1" s="13"/>
    <row r="269" ht="23.85" customHeight="1" s="13"/>
    <row r="270" ht="35.05" customHeight="1" s="13"/>
    <row r="271" ht="35.05" customHeight="1" s="13"/>
    <row r="272" ht="23.85" customHeight="1" s="13"/>
    <row r="273" ht="35.05" customHeight="1" s="13"/>
    <row r="274" ht="35.05" customHeight="1" s="13"/>
    <row r="275" ht="35.05" customHeight="1" s="13"/>
    <row r="276" ht="23.85" customHeight="1" s="13"/>
    <row r="277" ht="35.05" customHeight="1" s="13"/>
    <row r="278" ht="35.05" customHeight="1" s="13"/>
    <row r="279" ht="23.85" customHeight="1" s="13"/>
    <row r="280" ht="23.85" customHeight="1" s="13"/>
    <row r="281" ht="35.05" customHeight="1" s="13"/>
    <row r="282" ht="35.05" customHeight="1" s="13"/>
    <row r="283" ht="35.05" customHeight="1" s="13"/>
    <row r="284" ht="35.05" customHeight="1" s="13"/>
    <row r="285" ht="35.05" customHeight="1" s="13"/>
    <row r="286" ht="35.05" customHeight="1" s="13"/>
    <row r="287" ht="35.05" customHeight="1" s="13"/>
    <row r="288" ht="35.05" customHeight="1" s="13"/>
    <row r="289" ht="46.25" customHeight="1" s="13"/>
    <row r="290" ht="35.05" customHeight="1" s="13"/>
    <row r="291" ht="35.05" customHeight="1" s="13"/>
    <row r="292" ht="35.05" customHeight="1" s="13"/>
    <row r="293" ht="35.05" customHeight="1" s="13"/>
    <row r="294" ht="35.05" customHeight="1" s="13"/>
    <row r="295" ht="35.05" customHeight="1" s="13"/>
    <row r="296" ht="35.05" customHeight="1" s="13"/>
    <row r="297" ht="35.05" customHeight="1" s="13"/>
    <row r="298" ht="35.05" customHeight="1" s="13"/>
    <row r="299" ht="35.05" customHeight="1" s="13"/>
    <row r="300" ht="35.05" customHeight="1" s="13"/>
    <row r="301" ht="46.25" customHeight="1" s="13"/>
    <row r="302" ht="35.05" customHeight="1" s="13"/>
    <row r="303" ht="46.25" customHeight="1" s="13"/>
    <row r="304" ht="46.25" customHeight="1" s="13"/>
    <row r="305" ht="35.05" customHeight="1" s="13"/>
    <row r="306" ht="35.05" customHeight="1" s="13"/>
    <row r="307" ht="35.05" customHeight="1" s="13"/>
    <row r="308" ht="35.05" customHeight="1" s="13"/>
    <row r="309" ht="23.85" customHeight="1" s="13"/>
    <row r="310" ht="23.85" customHeight="1" s="13"/>
    <row r="311" ht="57.45" customHeight="1" s="13"/>
    <row r="312" ht="35.05" customHeight="1" s="13"/>
    <row r="313" ht="46.25" customHeight="1" s="13"/>
    <row r="314" ht="23.85" customHeight="1" s="13"/>
    <row r="315" ht="35.05" customHeight="1" s="13"/>
    <row r="316" ht="23.85" customHeight="1" s="13"/>
    <row r="317" ht="23.85" customHeight="1" s="13"/>
    <row r="318" ht="23.85" customHeight="1" s="13"/>
    <row r="319" ht="23.85" customHeight="1" s="13"/>
    <row r="320" ht="35.05" customHeight="1" s="13"/>
    <row r="321" ht="35.05" customHeight="1" s="13"/>
    <row r="322" ht="35.05" customHeight="1" s="13"/>
    <row r="323" ht="35.05" customHeight="1" s="13"/>
    <row r="324" ht="35.05" customHeight="1" s="13"/>
    <row r="325" ht="23.85" customHeight="1" s="13"/>
    <row r="326" ht="46.25" customHeight="1" s="13"/>
    <row r="327" ht="35.05" customHeight="1" s="13"/>
    <row r="328" ht="23.85" customHeight="1" s="13"/>
    <row r="329" ht="35.05" customHeight="1" s="13"/>
    <row r="330" ht="35.05" customHeight="1" s="13"/>
    <row r="331" ht="35.05" customHeight="1" s="13"/>
    <row r="332" ht="35.05" customHeight="1" s="13"/>
    <row r="333" ht="35.05" customHeight="1" s="13"/>
    <row r="334" ht="35.05" customHeight="1" s="13"/>
    <row r="335" ht="35.05" customHeight="1" s="13"/>
    <row r="336" ht="35.05" customHeight="1" s="13"/>
    <row r="337" ht="35.05" customHeight="1" s="13"/>
    <row r="338" ht="35.05" customHeight="1" s="13"/>
    <row r="339" ht="35.05" customHeight="1" s="13"/>
    <row r="340" ht="35.05" customHeight="1" s="13"/>
    <row r="341" ht="46.25" customHeight="1" s="13"/>
    <row r="342" ht="46.25" customHeight="1" s="13"/>
    <row r="343" ht="35.05" customHeight="1" s="13"/>
    <row r="344" ht="35.05" customHeight="1" s="13"/>
    <row r="345" ht="35.05" customHeight="1" s="13"/>
    <row r="346" ht="35.05" customHeight="1" s="13"/>
    <row r="347" ht="46.25" customHeight="1" s="13"/>
    <row r="348" ht="23.85" customHeight="1" s="13"/>
    <row r="349" ht="23.85" customHeight="1" s="13"/>
    <row r="350" ht="35.05" customHeight="1" s="13"/>
    <row r="351" ht="23.85" customHeight="1" s="13"/>
    <row r="352" ht="23.85" customHeight="1" s="13"/>
    <row r="353" ht="23.85" customHeight="1" s="13"/>
    <row r="354" ht="23.85" customHeight="1" s="13"/>
    <row r="355" ht="46.25" customHeight="1" s="13"/>
    <row r="356" ht="35.05" customHeight="1" s="13"/>
    <row r="357" ht="23.85" customHeight="1" s="13"/>
    <row r="358" ht="23.85" customHeight="1" s="13"/>
    <row r="359" ht="35.05" customHeight="1" s="13"/>
    <row r="360" ht="35.05" customHeight="1" s="13"/>
    <row r="361" ht="46.25" customHeight="1" s="13"/>
    <row r="362" ht="23.85" customHeight="1" s="13"/>
    <row r="363" ht="35.05" customHeight="1" s="13"/>
    <row r="364" ht="23.85" customHeight="1" s="13"/>
    <row r="365" ht="23.85" customHeight="1" s="13"/>
    <row r="366" ht="35.05" customHeight="1" s="13"/>
    <row r="367" ht="35.05" customHeight="1" s="13"/>
    <row r="368" ht="23.85" customHeight="1" s="13"/>
    <row r="369" ht="46.25" customHeight="1" s="13"/>
    <row r="370" ht="57.45" customHeight="1" s="13"/>
    <row r="371" ht="23.85" customHeight="1" s="13"/>
  </sheetData>
  <autoFilter ref="A2:J371"/>
  <dataValidations count="2">
    <dataValidation sqref="F4:F371" showDropDown="0" showInputMessage="0" showErrorMessage="1" allowBlank="1" errorTitle="Geçersiz" error="1, 2, 3 ya da 4 seçin." type="list" errorStyle="stop" operator="between">
      <formula1>"1,2,3,4"</formula1>
      <formula2>0</formula2>
    </dataValidation>
    <dataValidation sqref="G4:I371" showDropDown="0" showInputMessage="0" showErrorMessage="1" allowBlank="1" errorTitle="Geçersiz" error="E ya da H seçin." type="list" errorStyle="stop" operator="between">
      <formula1>"E,H"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2026-10-07T11:02:13Z</dcterms:created>
  <dcterms:modified xmlns:dcterms="http://purl.org/dc/terms/" xmlns:xsi="http://www.w3.org/2001/XMLSchema-instance" xsi:type="dcterms:W3CDTF">2026-10-08T01:07:33Z</dcterms:modified>
  <cp:revision>0</cp:revision>
</cp:coreProperties>
</file>